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omoyhaldar/Documents/GitHub/VProjects/xlsx/spec/08_payroll_assignment_3/"/>
    </mc:Choice>
  </mc:AlternateContent>
  <xr:revisionPtr revIDLastSave="0" documentId="13_ncr:1_{91C2271D-31CF-7C45-90F0-22F4EC8552EA}" xr6:coauthVersionLast="47" xr6:coauthVersionMax="47" xr10:uidLastSave="{00000000-0000-0000-0000-000000000000}"/>
  <bookViews>
    <workbookView xWindow="0" yWindow="760" windowWidth="34560" windowHeight="20200" xr2:uid="{96AA7364-8B96-6946-85B1-48DB1A85E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  <c r="AD27" i="1"/>
  <c r="AD26" i="1"/>
  <c r="AD25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Z3" i="1"/>
  <c r="AA3" i="1"/>
  <c r="AB3" i="1"/>
  <c r="Y3" i="1"/>
  <c r="T4" i="1"/>
  <c r="U4" i="1"/>
  <c r="V4" i="1"/>
  <c r="W4" i="1"/>
  <c r="T5" i="1"/>
  <c r="U5" i="1"/>
  <c r="V5" i="1"/>
  <c r="W5" i="1"/>
  <c r="T6" i="1"/>
  <c r="U6" i="1"/>
  <c r="V6" i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T23" i="1"/>
  <c r="U23" i="1"/>
  <c r="V23" i="1"/>
  <c r="W2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4" i="1"/>
  <c r="U3" i="1"/>
  <c r="V3" i="1"/>
  <c r="W3" i="1" s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4" i="1"/>
  <c r="O3" i="1"/>
  <c r="P3" i="1" s="1"/>
  <c r="Q3" i="1" s="1"/>
  <c r="R3" i="1" s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J4" i="1"/>
  <c r="K4" i="1"/>
  <c r="L4" i="1"/>
  <c r="M4" i="1"/>
  <c r="J3" i="1"/>
  <c r="K3" i="1" s="1"/>
  <c r="L3" i="1" s="1"/>
  <c r="M3" i="1" s="1"/>
  <c r="E3" i="1"/>
  <c r="F3" i="1" s="1"/>
  <c r="G3" i="1" s="1"/>
  <c r="H3" i="1" s="1"/>
  <c r="I4" i="1"/>
  <c r="D25" i="1"/>
  <c r="D26" i="1"/>
  <c r="D27" i="1"/>
  <c r="D28" i="1"/>
  <c r="C28" i="1"/>
  <c r="C27" i="1"/>
  <c r="C25" i="1"/>
  <c r="C26" i="1"/>
  <c r="X5" i="1" l="1"/>
  <c r="X15" i="1"/>
  <c r="X16" i="1"/>
  <c r="N26" i="1"/>
  <c r="X4" i="1"/>
  <c r="X14" i="1"/>
  <c r="X23" i="1"/>
  <c r="X13" i="1"/>
  <c r="X22" i="1"/>
  <c r="X12" i="1"/>
  <c r="X21" i="1"/>
  <c r="X11" i="1"/>
  <c r="X20" i="1"/>
  <c r="X10" i="1"/>
  <c r="X19" i="1"/>
  <c r="X9" i="1"/>
  <c r="X18" i="1"/>
  <c r="X8" i="1"/>
  <c r="X17" i="1"/>
  <c r="X7" i="1"/>
  <c r="X6" i="1"/>
  <c r="N27" i="1"/>
  <c r="N25" i="1"/>
  <c r="N28" i="1"/>
</calcChain>
</file>

<file path=xl/sharedStrings.xml><?xml version="1.0" encoding="utf-8"?>
<sst xmlns="http://schemas.openxmlformats.org/spreadsheetml/2006/main" count="55" uniqueCount="54">
  <si>
    <t>Employee Payroll</t>
  </si>
  <si>
    <t>Subhomoy Haldar</t>
  </si>
  <si>
    <t>Last Name</t>
  </si>
  <si>
    <t>First Name</t>
  </si>
  <si>
    <t>Hourly Wage</t>
  </si>
  <si>
    <t>Hours Worked</t>
  </si>
  <si>
    <t>Pay</t>
  </si>
  <si>
    <t>Ashworth</t>
  </si>
  <si>
    <t>Eleanor</t>
  </si>
  <si>
    <t>Blackwood</t>
  </si>
  <si>
    <t>Oliver</t>
  </si>
  <si>
    <t>Cholmondeley</t>
  </si>
  <si>
    <t>Harriet</t>
  </si>
  <si>
    <t>Darcy</t>
  </si>
  <si>
    <t>Edmund</t>
  </si>
  <si>
    <t>Ellingham</t>
  </si>
  <si>
    <t>Beatrice</t>
  </si>
  <si>
    <t>Fairfax</t>
  </si>
  <si>
    <t>Rupert</t>
  </si>
  <si>
    <t>Grimshaw</t>
  </si>
  <si>
    <t>Philippa</t>
  </si>
  <si>
    <t>Hartley</t>
  </si>
  <si>
    <t>Sebastian</t>
  </si>
  <si>
    <t>Ingham</t>
  </si>
  <si>
    <t>Cordelia</t>
  </si>
  <si>
    <t>Jarvis</t>
  </si>
  <si>
    <t>Theodore</t>
  </si>
  <si>
    <t>Kensington</t>
  </si>
  <si>
    <t>Imogen</t>
  </si>
  <si>
    <t>Langley</t>
  </si>
  <si>
    <t>Alistair</t>
  </si>
  <si>
    <t>Moorhouse</t>
  </si>
  <si>
    <t>Penelope</t>
  </si>
  <si>
    <t>Nettleton</t>
  </si>
  <si>
    <t>Clive</t>
  </si>
  <si>
    <t>Ogilvie</t>
  </si>
  <si>
    <t>Rosalind</t>
  </si>
  <si>
    <t>Pemberton</t>
  </si>
  <si>
    <t>Hugh</t>
  </si>
  <si>
    <t>Quigley</t>
  </si>
  <si>
    <t>Arabella</t>
  </si>
  <si>
    <t>Rowntree</t>
  </si>
  <si>
    <t>Geoffrey</t>
  </si>
  <si>
    <t>Sinclair</t>
  </si>
  <si>
    <t>Felicity</t>
  </si>
  <si>
    <t>Thornton</t>
  </si>
  <si>
    <t>Nigel</t>
  </si>
  <si>
    <t>Max</t>
  </si>
  <si>
    <t>Min</t>
  </si>
  <si>
    <t>Average</t>
  </si>
  <si>
    <t>Total</t>
  </si>
  <si>
    <t>Overtime Hours</t>
  </si>
  <si>
    <t>Overtime Bonus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</si>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</sst>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8" fontId="0" fillId="0" borderId="0" xfId="0" applyNumberFormat="1"/>
    <xf numFmtId="1" fontId="0" fillId="0" borderId="0" xfId="0" applyNumberFormat="1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8" fontId="0" fillId="4" borderId="0" xfId="0" applyNumberFormat="1" applyFill="1"/>
    <xf numFmtId="16" fontId="0" fillId="5" borderId="0" xfId="0" applyNumberFormat="1" applyFill="1"/>
    <xf numFmtId="8" fontId="0" fillId="5" borderId="0" xfId="0" applyNumberFormat="1" applyFill="1"/>
    <xf numFmtId="16" fontId="0" fillId="6" borderId="0" xfId="0" applyNumberFormat="1" applyFill="1"/>
    <xf numFmtId="8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6F2E-DCB8-2346-B6EB-2BDB84547B8C}">
  <dimension ref="A1:AD28"/>
  <sheetViews>
    <sheetView tabSelected="1" topLeftCell="D1" workbookViewId="0">
      <selection activeCell="V19" sqref="V19"/>
    </sheetView>
  </sheetViews>
  <sheetFormatPr baseColWidth="10" defaultRowHeight="16" x14ac:dyDescent="0.2"/>
  <cols>
    <col min="1" max="1" width="14.83203125" bestFit="1" customWidth="1"/>
    <col min="4" max="13" width="10" customWidth="1"/>
    <col min="19" max="23" width="10.5" customWidth="1"/>
  </cols>
  <sheetData>
    <row r="1" spans="1:30" x14ac:dyDescent="0.2">
      <c r="A1" t="s">
        <v>0</v>
      </c>
      <c r="C1" t="s">
        <v>1</v>
      </c>
    </row>
    <row r="2" spans="1:30" x14ac:dyDescent="0.2">
      <c r="D2" t="s">
        <v>5</v>
      </c>
      <c r="I2" t="s">
        <v>51</v>
      </c>
      <c r="N2" t="s">
        <v>6</v>
      </c>
      <c r="S2" t="s">
        <v>52</v>
      </c>
      <c r="X2" t="s">
        <v>50</v>
      </c>
      <c r="AD2" t="s">
        <v>53</v>
      </c>
    </row>
    <row r="3" spans="1:30" x14ac:dyDescent="0.2">
      <c r="A3" t="s">
        <v>2</v>
      </c>
      <c r="B3" t="s">
        <v>3</v>
      </c>
      <c r="C3" t="s">
        <v>4</v>
      </c>
      <c r="D3" s="4">
        <v>46023</v>
      </c>
      <c r="E3" s="4">
        <f>D3+7</f>
        <v>46030</v>
      </c>
      <c r="F3" s="4">
        <f>E3+7</f>
        <v>46037</v>
      </c>
      <c r="G3" s="4">
        <f>F3+7</f>
        <v>46044</v>
      </c>
      <c r="H3" s="4">
        <f>G3+7</f>
        <v>46051</v>
      </c>
      <c r="I3" s="6">
        <v>46023</v>
      </c>
      <c r="J3" s="6">
        <f>I3+7</f>
        <v>46030</v>
      </c>
      <c r="K3" s="6">
        <f>J3+7</f>
        <v>46037</v>
      </c>
      <c r="L3" s="6">
        <f>K3+7</f>
        <v>46044</v>
      </c>
      <c r="M3" s="6">
        <f>L3+7</f>
        <v>46051</v>
      </c>
      <c r="N3" s="10">
        <v>46023</v>
      </c>
      <c r="O3" s="10">
        <f>N3+7</f>
        <v>46030</v>
      </c>
      <c r="P3" s="10">
        <f>O3+7</f>
        <v>46037</v>
      </c>
      <c r="Q3" s="10">
        <f>P3+7</f>
        <v>46044</v>
      </c>
      <c r="R3" s="10">
        <f>Q3+7</f>
        <v>46051</v>
      </c>
      <c r="S3" s="12">
        <v>46023</v>
      </c>
      <c r="T3" s="12">
        <f>S3+7</f>
        <v>46030</v>
      </c>
      <c r="U3" s="12">
        <f t="shared" ref="U3:W3" si="0">T3+7</f>
        <v>46037</v>
      </c>
      <c r="V3" s="12">
        <f t="shared" si="0"/>
        <v>46044</v>
      </c>
      <c r="W3" s="12">
        <f t="shared" si="0"/>
        <v>46051</v>
      </c>
      <c r="X3" s="8">
        <v>46023</v>
      </c>
      <c r="Y3" s="8">
        <f>X3+7</f>
        <v>46030</v>
      </c>
      <c r="Z3" s="8">
        <f t="shared" ref="Z3:AB3" si="1">Y3+7</f>
        <v>46037</v>
      </c>
      <c r="AA3" s="8">
        <f t="shared" si="1"/>
        <v>46044</v>
      </c>
      <c r="AB3" s="8">
        <f t="shared" si="1"/>
        <v>46051</v>
      </c>
    </row>
    <row r="4" spans="1:30" x14ac:dyDescent="0.2">
      <c r="A4" t="s">
        <v>41</v>
      </c>
      <c r="B4" t="s">
        <v>42</v>
      </c>
      <c r="C4" s="1">
        <v>17.8</v>
      </c>
      <c r="D4" s="5">
        <v>39</v>
      </c>
      <c r="E4" s="5">
        <v>36</v>
      </c>
      <c r="F4" s="5">
        <v>40</v>
      </c>
      <c r="G4" s="5">
        <v>41</v>
      </c>
      <c r="H4" s="5">
        <v>38</v>
      </c>
      <c r="I4" s="7">
        <f>IF(D4&gt;40,D4-40,0)</f>
        <v>0</v>
      </c>
      <c r="J4" s="7">
        <f t="shared" ref="J4:M4" si="2">IF(E4&gt;40,E4-40,0)</f>
        <v>0</v>
      </c>
      <c r="K4" s="7">
        <f t="shared" si="2"/>
        <v>0</v>
      </c>
      <c r="L4" s="7">
        <f t="shared" si="2"/>
        <v>1</v>
      </c>
      <c r="M4" s="7">
        <f t="shared" si="2"/>
        <v>0</v>
      </c>
      <c r="N4" s="11">
        <f>$C4*D4</f>
        <v>694.2</v>
      </c>
      <c r="O4" s="11">
        <f>$C4*E4</f>
        <v>640.80000000000007</v>
      </c>
      <c r="P4" s="11">
        <f>$C4*F4</f>
        <v>712</v>
      </c>
      <c r="Q4" s="11">
        <f>$C4*G4</f>
        <v>729.80000000000007</v>
      </c>
      <c r="R4" s="11">
        <f>$C4*H4</f>
        <v>676.4</v>
      </c>
      <c r="S4" s="13">
        <f>0.5*$C4*I4</f>
        <v>0</v>
      </c>
      <c r="T4" s="13">
        <f t="shared" ref="T4:W19" si="3">0.5*$C4*J4</f>
        <v>0</v>
      </c>
      <c r="U4" s="13">
        <f t="shared" si="3"/>
        <v>0</v>
      </c>
      <c r="V4" s="13">
        <f t="shared" si="3"/>
        <v>8.9</v>
      </c>
      <c r="W4" s="13">
        <f t="shared" si="3"/>
        <v>0</v>
      </c>
      <c r="X4" s="9">
        <f>N4+S4</f>
        <v>694.2</v>
      </c>
      <c r="Y4" s="9">
        <f t="shared" ref="Y4:AB19" si="4">O4+T4</f>
        <v>640.80000000000007</v>
      </c>
      <c r="Z4" s="9">
        <f t="shared" si="4"/>
        <v>712</v>
      </c>
      <c r="AA4" s="9">
        <f t="shared" si="4"/>
        <v>738.7</v>
      </c>
      <c r="AB4" s="9">
        <f t="shared" si="4"/>
        <v>676.4</v>
      </c>
      <c r="AD4" s="1">
        <f>SUM(X4:AB4)</f>
        <v>3462.1</v>
      </c>
    </row>
    <row r="5" spans="1:30" x14ac:dyDescent="0.2">
      <c r="A5" t="s">
        <v>43</v>
      </c>
      <c r="B5" t="s">
        <v>44</v>
      </c>
      <c r="C5" s="1">
        <v>19.899999999999999</v>
      </c>
      <c r="D5" s="5">
        <v>36</v>
      </c>
      <c r="E5" s="5">
        <v>42</v>
      </c>
      <c r="F5" s="5">
        <v>35</v>
      </c>
      <c r="G5" s="5">
        <v>39</v>
      </c>
      <c r="H5" s="5">
        <v>41</v>
      </c>
      <c r="I5" s="7">
        <f t="shared" ref="I5:I23" si="5">IF(D5&gt;40,D5-40,0)</f>
        <v>0</v>
      </c>
      <c r="J5" s="7">
        <f t="shared" ref="J5:J23" si="6">IF(E5&gt;40,E5-40,0)</f>
        <v>2</v>
      </c>
      <c r="K5" s="7">
        <f t="shared" ref="K5:K23" si="7">IF(F5&gt;40,F5-40,0)</f>
        <v>0</v>
      </c>
      <c r="L5" s="7">
        <f t="shared" ref="L5:L23" si="8">IF(G5&gt;40,G5-40,0)</f>
        <v>0</v>
      </c>
      <c r="M5" s="7">
        <f t="shared" ref="M5:M23" si="9">IF(H5&gt;40,H5-40,0)</f>
        <v>1</v>
      </c>
      <c r="N5" s="11">
        <f t="shared" ref="N5:R23" si="10">$C5*D5</f>
        <v>716.4</v>
      </c>
      <c r="O5" s="11">
        <f t="shared" si="10"/>
        <v>835.8</v>
      </c>
      <c r="P5" s="11">
        <f t="shared" si="10"/>
        <v>696.5</v>
      </c>
      <c r="Q5" s="11">
        <f t="shared" si="10"/>
        <v>776.09999999999991</v>
      </c>
      <c r="R5" s="11">
        <f t="shared" si="10"/>
        <v>815.9</v>
      </c>
      <c r="S5" s="13">
        <f t="shared" ref="S5:S23" si="11">0.5*$C5*I5</f>
        <v>0</v>
      </c>
      <c r="T5" s="13">
        <f t="shared" si="3"/>
        <v>19.899999999999999</v>
      </c>
      <c r="U5" s="13">
        <f t="shared" si="3"/>
        <v>0</v>
      </c>
      <c r="V5" s="13">
        <f t="shared" si="3"/>
        <v>0</v>
      </c>
      <c r="W5" s="13">
        <f t="shared" si="3"/>
        <v>9.9499999999999993</v>
      </c>
      <c r="X5" s="9">
        <f>N5+S5</f>
        <v>716.4</v>
      </c>
      <c r="Y5" s="9">
        <f t="shared" si="4"/>
        <v>855.69999999999993</v>
      </c>
      <c r="Z5" s="9">
        <f t="shared" si="4"/>
        <v>696.5</v>
      </c>
      <c r="AA5" s="9">
        <f t="shared" si="4"/>
        <v>776.09999999999991</v>
      </c>
      <c r="AB5" s="9">
        <f t="shared" si="4"/>
        <v>825.85</v>
      </c>
      <c r="AD5" s="1">
        <f t="shared" ref="AD5:AD23" si="12">SUM(X5:AB5)</f>
        <v>3870.5499999999997</v>
      </c>
    </row>
    <row r="6" spans="1:30" x14ac:dyDescent="0.2">
      <c r="A6" t="s">
        <v>45</v>
      </c>
      <c r="B6" t="s">
        <v>46</v>
      </c>
      <c r="C6" s="1">
        <v>16.45</v>
      </c>
      <c r="D6" s="5">
        <v>43</v>
      </c>
      <c r="E6" s="5">
        <v>41</v>
      </c>
      <c r="F6" s="5">
        <v>40</v>
      </c>
      <c r="G6" s="5">
        <v>39</v>
      </c>
      <c r="H6" s="5">
        <v>40</v>
      </c>
      <c r="I6" s="7">
        <f t="shared" si="5"/>
        <v>3</v>
      </c>
      <c r="J6" s="7">
        <f t="shared" si="6"/>
        <v>1</v>
      </c>
      <c r="K6" s="7">
        <f t="shared" si="7"/>
        <v>0</v>
      </c>
      <c r="L6" s="7">
        <f t="shared" si="8"/>
        <v>0</v>
      </c>
      <c r="M6" s="7">
        <f t="shared" si="9"/>
        <v>0</v>
      </c>
      <c r="N6" s="11">
        <f t="shared" si="10"/>
        <v>707.35</v>
      </c>
      <c r="O6" s="11">
        <f t="shared" si="10"/>
        <v>674.44999999999993</v>
      </c>
      <c r="P6" s="11">
        <f t="shared" si="10"/>
        <v>658</v>
      </c>
      <c r="Q6" s="11">
        <f t="shared" si="10"/>
        <v>641.54999999999995</v>
      </c>
      <c r="R6" s="11">
        <f t="shared" si="10"/>
        <v>658</v>
      </c>
      <c r="S6" s="13">
        <f t="shared" si="11"/>
        <v>24.674999999999997</v>
      </c>
      <c r="T6" s="13">
        <f t="shared" si="3"/>
        <v>8.2249999999999996</v>
      </c>
      <c r="U6" s="13">
        <f t="shared" si="3"/>
        <v>0</v>
      </c>
      <c r="V6" s="13">
        <f t="shared" si="3"/>
        <v>0</v>
      </c>
      <c r="W6" s="13">
        <f t="shared" si="3"/>
        <v>0</v>
      </c>
      <c r="X6" s="9">
        <f>N6+S6</f>
        <v>732.02499999999998</v>
      </c>
      <c r="Y6" s="9">
        <f t="shared" si="4"/>
        <v>682.67499999999995</v>
      </c>
      <c r="Z6" s="9">
        <f t="shared" si="4"/>
        <v>658</v>
      </c>
      <c r="AA6" s="9">
        <f t="shared" si="4"/>
        <v>641.54999999999995</v>
      </c>
      <c r="AB6" s="9">
        <f t="shared" si="4"/>
        <v>658</v>
      </c>
      <c r="AD6" s="1">
        <f t="shared" si="12"/>
        <v>3372.25</v>
      </c>
    </row>
    <row r="7" spans="1:30" x14ac:dyDescent="0.2">
      <c r="A7" t="s">
        <v>9</v>
      </c>
      <c r="B7" t="s">
        <v>10</v>
      </c>
      <c r="C7" s="1">
        <v>16.2</v>
      </c>
      <c r="D7" s="5">
        <v>42</v>
      </c>
      <c r="E7" s="5">
        <v>40</v>
      </c>
      <c r="F7" s="5">
        <v>41</v>
      </c>
      <c r="G7" s="5">
        <v>39</v>
      </c>
      <c r="H7" s="5">
        <v>39</v>
      </c>
      <c r="I7" s="7">
        <f t="shared" si="5"/>
        <v>2</v>
      </c>
      <c r="J7" s="7">
        <f t="shared" si="6"/>
        <v>0</v>
      </c>
      <c r="K7" s="7">
        <f t="shared" si="7"/>
        <v>1</v>
      </c>
      <c r="L7" s="7">
        <f t="shared" si="8"/>
        <v>0</v>
      </c>
      <c r="M7" s="7">
        <f t="shared" si="9"/>
        <v>0</v>
      </c>
      <c r="N7" s="11">
        <f t="shared" si="10"/>
        <v>680.4</v>
      </c>
      <c r="O7" s="11">
        <f t="shared" si="10"/>
        <v>648</v>
      </c>
      <c r="P7" s="11">
        <f t="shared" si="10"/>
        <v>664.19999999999993</v>
      </c>
      <c r="Q7" s="11">
        <f t="shared" si="10"/>
        <v>631.79999999999995</v>
      </c>
      <c r="R7" s="11">
        <f t="shared" si="10"/>
        <v>631.79999999999995</v>
      </c>
      <c r="S7" s="13">
        <f t="shared" si="11"/>
        <v>16.2</v>
      </c>
      <c r="T7" s="13">
        <f t="shared" si="3"/>
        <v>0</v>
      </c>
      <c r="U7" s="13">
        <f t="shared" si="3"/>
        <v>8.1</v>
      </c>
      <c r="V7" s="13">
        <f t="shared" si="3"/>
        <v>0</v>
      </c>
      <c r="W7" s="13">
        <f t="shared" si="3"/>
        <v>0</v>
      </c>
      <c r="X7" s="9">
        <f>N7+S7</f>
        <v>696.6</v>
      </c>
      <c r="Y7" s="9">
        <f t="shared" si="4"/>
        <v>648</v>
      </c>
      <c r="Z7" s="9">
        <f t="shared" si="4"/>
        <v>672.3</v>
      </c>
      <c r="AA7" s="9">
        <f t="shared" si="4"/>
        <v>631.79999999999995</v>
      </c>
      <c r="AB7" s="9">
        <f t="shared" si="4"/>
        <v>631.79999999999995</v>
      </c>
      <c r="AD7" s="1">
        <f t="shared" si="12"/>
        <v>3280.5</v>
      </c>
    </row>
    <row r="8" spans="1:30" ht="15" customHeight="1" x14ac:dyDescent="0.2">
      <c r="A8" t="s">
        <v>7</v>
      </c>
      <c r="B8" t="s">
        <v>8</v>
      </c>
      <c r="C8" s="1">
        <v>14.5</v>
      </c>
      <c r="D8" s="5">
        <v>38</v>
      </c>
      <c r="E8" s="5">
        <v>40</v>
      </c>
      <c r="F8" s="5">
        <v>41</v>
      </c>
      <c r="G8" s="5">
        <v>38</v>
      </c>
      <c r="H8" s="5">
        <v>38</v>
      </c>
      <c r="I8" s="7">
        <f t="shared" si="5"/>
        <v>0</v>
      </c>
      <c r="J8" s="7">
        <f t="shared" si="6"/>
        <v>0</v>
      </c>
      <c r="K8" s="7">
        <f t="shared" si="7"/>
        <v>1</v>
      </c>
      <c r="L8" s="7">
        <f t="shared" si="8"/>
        <v>0</v>
      </c>
      <c r="M8" s="7">
        <f t="shared" si="9"/>
        <v>0</v>
      </c>
      <c r="N8" s="11">
        <f t="shared" si="10"/>
        <v>551</v>
      </c>
      <c r="O8" s="11">
        <f t="shared" si="10"/>
        <v>580</v>
      </c>
      <c r="P8" s="11">
        <f t="shared" si="10"/>
        <v>594.5</v>
      </c>
      <c r="Q8" s="11">
        <f t="shared" si="10"/>
        <v>551</v>
      </c>
      <c r="R8" s="11">
        <f t="shared" si="10"/>
        <v>551</v>
      </c>
      <c r="S8" s="13">
        <f t="shared" si="11"/>
        <v>0</v>
      </c>
      <c r="T8" s="13">
        <f t="shared" si="3"/>
        <v>0</v>
      </c>
      <c r="U8" s="13">
        <f t="shared" si="3"/>
        <v>7.25</v>
      </c>
      <c r="V8" s="13">
        <f t="shared" si="3"/>
        <v>0</v>
      </c>
      <c r="W8" s="13">
        <f t="shared" si="3"/>
        <v>0</v>
      </c>
      <c r="X8" s="9">
        <f>N8+S8</f>
        <v>551</v>
      </c>
      <c r="Y8" s="9">
        <f t="shared" si="4"/>
        <v>580</v>
      </c>
      <c r="Z8" s="9">
        <f t="shared" si="4"/>
        <v>601.75</v>
      </c>
      <c r="AA8" s="9">
        <f t="shared" si="4"/>
        <v>551</v>
      </c>
      <c r="AB8" s="9">
        <f t="shared" si="4"/>
        <v>551</v>
      </c>
      <c r="AD8" s="1">
        <f t="shared" si="12"/>
        <v>2834.75</v>
      </c>
    </row>
    <row r="9" spans="1:30" x14ac:dyDescent="0.2">
      <c r="A9" t="s">
        <v>21</v>
      </c>
      <c r="B9" t="s">
        <v>22</v>
      </c>
      <c r="C9" s="1">
        <v>22.5</v>
      </c>
      <c r="D9" s="5">
        <v>45</v>
      </c>
      <c r="E9" s="5">
        <v>42</v>
      </c>
      <c r="F9" s="5">
        <v>41</v>
      </c>
      <c r="G9" s="5">
        <v>39</v>
      </c>
      <c r="H9" s="5">
        <v>41</v>
      </c>
      <c r="I9" s="7">
        <f t="shared" si="5"/>
        <v>5</v>
      </c>
      <c r="J9" s="7">
        <f t="shared" si="6"/>
        <v>2</v>
      </c>
      <c r="K9" s="7">
        <f t="shared" si="7"/>
        <v>1</v>
      </c>
      <c r="L9" s="7">
        <f t="shared" si="8"/>
        <v>0</v>
      </c>
      <c r="M9" s="7">
        <f t="shared" si="9"/>
        <v>1</v>
      </c>
      <c r="N9" s="11">
        <f t="shared" si="10"/>
        <v>1012.5</v>
      </c>
      <c r="O9" s="11">
        <f t="shared" si="10"/>
        <v>945</v>
      </c>
      <c r="P9" s="11">
        <f t="shared" si="10"/>
        <v>922.5</v>
      </c>
      <c r="Q9" s="11">
        <f t="shared" si="10"/>
        <v>877.5</v>
      </c>
      <c r="R9" s="11">
        <f t="shared" si="10"/>
        <v>922.5</v>
      </c>
      <c r="S9" s="13">
        <f t="shared" si="11"/>
        <v>56.25</v>
      </c>
      <c r="T9" s="13">
        <f t="shared" si="3"/>
        <v>22.5</v>
      </c>
      <c r="U9" s="13">
        <f t="shared" si="3"/>
        <v>11.25</v>
      </c>
      <c r="V9" s="13">
        <f t="shared" si="3"/>
        <v>0</v>
      </c>
      <c r="W9" s="13">
        <f t="shared" si="3"/>
        <v>11.25</v>
      </c>
      <c r="X9" s="9">
        <f>N9+S9</f>
        <v>1068.75</v>
      </c>
      <c r="Y9" s="9">
        <f t="shared" si="4"/>
        <v>967.5</v>
      </c>
      <c r="Z9" s="9">
        <f t="shared" si="4"/>
        <v>933.75</v>
      </c>
      <c r="AA9" s="9">
        <f t="shared" si="4"/>
        <v>877.5</v>
      </c>
      <c r="AB9" s="9">
        <f t="shared" si="4"/>
        <v>933.75</v>
      </c>
      <c r="AD9" s="1">
        <f t="shared" si="12"/>
        <v>4781.25</v>
      </c>
    </row>
    <row r="10" spans="1:30" x14ac:dyDescent="0.2">
      <c r="A10" t="s">
        <v>35</v>
      </c>
      <c r="B10" t="s">
        <v>36</v>
      </c>
      <c r="C10" s="1">
        <v>21.2</v>
      </c>
      <c r="D10" s="5">
        <v>39</v>
      </c>
      <c r="E10" s="5">
        <v>37</v>
      </c>
      <c r="F10" s="5">
        <v>39</v>
      </c>
      <c r="G10" s="5">
        <v>38</v>
      </c>
      <c r="H10" s="5">
        <v>37</v>
      </c>
      <c r="I10" s="7">
        <f t="shared" si="5"/>
        <v>0</v>
      </c>
      <c r="J10" s="7">
        <f t="shared" si="6"/>
        <v>0</v>
      </c>
      <c r="K10" s="7">
        <f t="shared" si="7"/>
        <v>0</v>
      </c>
      <c r="L10" s="7">
        <f t="shared" si="8"/>
        <v>0</v>
      </c>
      <c r="M10" s="7">
        <f t="shared" si="9"/>
        <v>0</v>
      </c>
      <c r="N10" s="11">
        <f t="shared" si="10"/>
        <v>826.8</v>
      </c>
      <c r="O10" s="11">
        <f t="shared" si="10"/>
        <v>784.4</v>
      </c>
      <c r="P10" s="11">
        <f t="shared" si="10"/>
        <v>826.8</v>
      </c>
      <c r="Q10" s="11">
        <f t="shared" si="10"/>
        <v>805.6</v>
      </c>
      <c r="R10" s="11">
        <f t="shared" si="10"/>
        <v>784.4</v>
      </c>
      <c r="S10" s="13">
        <f t="shared" si="11"/>
        <v>0</v>
      </c>
      <c r="T10" s="13">
        <f t="shared" si="3"/>
        <v>0</v>
      </c>
      <c r="U10" s="13">
        <f t="shared" si="3"/>
        <v>0</v>
      </c>
      <c r="V10" s="13">
        <f t="shared" si="3"/>
        <v>0</v>
      </c>
      <c r="W10" s="13">
        <f t="shared" si="3"/>
        <v>0</v>
      </c>
      <c r="X10" s="9">
        <f>N10+S10</f>
        <v>826.8</v>
      </c>
      <c r="Y10" s="9">
        <f t="shared" si="4"/>
        <v>784.4</v>
      </c>
      <c r="Z10" s="9">
        <f t="shared" si="4"/>
        <v>826.8</v>
      </c>
      <c r="AA10" s="9">
        <f t="shared" si="4"/>
        <v>805.6</v>
      </c>
      <c r="AB10" s="9">
        <f t="shared" si="4"/>
        <v>784.4</v>
      </c>
      <c r="AD10" s="1">
        <f t="shared" si="12"/>
        <v>4028</v>
      </c>
    </row>
    <row r="11" spans="1:30" x14ac:dyDescent="0.2">
      <c r="A11" t="s">
        <v>37</v>
      </c>
      <c r="B11" t="s">
        <v>38</v>
      </c>
      <c r="C11" s="1">
        <v>15.4</v>
      </c>
      <c r="D11" s="5">
        <v>37</v>
      </c>
      <c r="E11" s="5">
        <v>39</v>
      </c>
      <c r="F11" s="5">
        <v>36</v>
      </c>
      <c r="G11" s="5">
        <v>34</v>
      </c>
      <c r="H11" s="5">
        <v>39</v>
      </c>
      <c r="I11" s="7">
        <f t="shared" si="5"/>
        <v>0</v>
      </c>
      <c r="J11" s="7">
        <f t="shared" si="6"/>
        <v>0</v>
      </c>
      <c r="K11" s="7">
        <f t="shared" si="7"/>
        <v>0</v>
      </c>
      <c r="L11" s="7">
        <f t="shared" si="8"/>
        <v>0</v>
      </c>
      <c r="M11" s="7">
        <f t="shared" si="9"/>
        <v>0</v>
      </c>
      <c r="N11" s="11">
        <f t="shared" si="10"/>
        <v>569.80000000000007</v>
      </c>
      <c r="O11" s="11">
        <f t="shared" si="10"/>
        <v>600.6</v>
      </c>
      <c r="P11" s="11">
        <f t="shared" si="10"/>
        <v>554.4</v>
      </c>
      <c r="Q11" s="11">
        <f t="shared" si="10"/>
        <v>523.6</v>
      </c>
      <c r="R11" s="11">
        <f t="shared" si="10"/>
        <v>600.6</v>
      </c>
      <c r="S11" s="13">
        <f t="shared" si="11"/>
        <v>0</v>
      </c>
      <c r="T11" s="13">
        <f t="shared" si="3"/>
        <v>0</v>
      </c>
      <c r="U11" s="13">
        <f t="shared" si="3"/>
        <v>0</v>
      </c>
      <c r="V11" s="13">
        <f t="shared" si="3"/>
        <v>0</v>
      </c>
      <c r="W11" s="13">
        <f t="shared" si="3"/>
        <v>0</v>
      </c>
      <c r="X11" s="9">
        <f>N11+S11</f>
        <v>569.80000000000007</v>
      </c>
      <c r="Y11" s="9">
        <f t="shared" si="4"/>
        <v>600.6</v>
      </c>
      <c r="Z11" s="9">
        <f t="shared" si="4"/>
        <v>554.4</v>
      </c>
      <c r="AA11" s="9">
        <f t="shared" si="4"/>
        <v>523.6</v>
      </c>
      <c r="AB11" s="9">
        <f t="shared" si="4"/>
        <v>600.6</v>
      </c>
      <c r="AD11" s="1">
        <f t="shared" si="12"/>
        <v>2849</v>
      </c>
    </row>
    <row r="12" spans="1:30" x14ac:dyDescent="0.2">
      <c r="A12" t="s">
        <v>39</v>
      </c>
      <c r="B12" t="s">
        <v>40</v>
      </c>
      <c r="C12" s="1">
        <v>14.25</v>
      </c>
      <c r="D12" s="5">
        <v>41</v>
      </c>
      <c r="E12" s="5">
        <v>39</v>
      </c>
      <c r="F12" s="5">
        <v>40</v>
      </c>
      <c r="G12" s="5">
        <v>38</v>
      </c>
      <c r="H12" s="5">
        <v>37</v>
      </c>
      <c r="I12" s="7">
        <f t="shared" si="5"/>
        <v>1</v>
      </c>
      <c r="J12" s="7">
        <f t="shared" si="6"/>
        <v>0</v>
      </c>
      <c r="K12" s="7">
        <f t="shared" si="7"/>
        <v>0</v>
      </c>
      <c r="L12" s="7">
        <f t="shared" si="8"/>
        <v>0</v>
      </c>
      <c r="M12" s="7">
        <f t="shared" si="9"/>
        <v>0</v>
      </c>
      <c r="N12" s="11">
        <f t="shared" si="10"/>
        <v>584.25</v>
      </c>
      <c r="O12" s="11">
        <f t="shared" si="10"/>
        <v>555.75</v>
      </c>
      <c r="P12" s="11">
        <f t="shared" si="10"/>
        <v>570</v>
      </c>
      <c r="Q12" s="11">
        <f t="shared" si="10"/>
        <v>541.5</v>
      </c>
      <c r="R12" s="11">
        <f t="shared" si="10"/>
        <v>527.25</v>
      </c>
      <c r="S12" s="13">
        <f t="shared" si="11"/>
        <v>7.125</v>
      </c>
      <c r="T12" s="13">
        <f t="shared" si="3"/>
        <v>0</v>
      </c>
      <c r="U12" s="13">
        <f t="shared" si="3"/>
        <v>0</v>
      </c>
      <c r="V12" s="13">
        <f t="shared" si="3"/>
        <v>0</v>
      </c>
      <c r="W12" s="13">
        <f t="shared" si="3"/>
        <v>0</v>
      </c>
      <c r="X12" s="9">
        <f>N12+S12</f>
        <v>591.375</v>
      </c>
      <c r="Y12" s="9">
        <f t="shared" si="4"/>
        <v>555.75</v>
      </c>
      <c r="Z12" s="9">
        <f t="shared" si="4"/>
        <v>570</v>
      </c>
      <c r="AA12" s="9">
        <f t="shared" si="4"/>
        <v>541.5</v>
      </c>
      <c r="AB12" s="9">
        <f t="shared" si="4"/>
        <v>527.25</v>
      </c>
      <c r="AD12" s="1">
        <f t="shared" si="12"/>
        <v>2785.875</v>
      </c>
    </row>
    <row r="13" spans="1:30" x14ac:dyDescent="0.2">
      <c r="A13" t="s">
        <v>23</v>
      </c>
      <c r="B13" t="s">
        <v>24</v>
      </c>
      <c r="C13" s="1">
        <v>13.25</v>
      </c>
      <c r="D13" s="5">
        <v>39</v>
      </c>
      <c r="E13" s="5">
        <v>39</v>
      </c>
      <c r="F13" s="5">
        <v>39</v>
      </c>
      <c r="G13" s="5">
        <v>40</v>
      </c>
      <c r="H13" s="5">
        <v>39</v>
      </c>
      <c r="I13" s="7">
        <f t="shared" si="5"/>
        <v>0</v>
      </c>
      <c r="J13" s="7">
        <f t="shared" si="6"/>
        <v>0</v>
      </c>
      <c r="K13" s="7">
        <f t="shared" si="7"/>
        <v>0</v>
      </c>
      <c r="L13" s="7">
        <f t="shared" si="8"/>
        <v>0</v>
      </c>
      <c r="M13" s="7">
        <f t="shared" si="9"/>
        <v>0</v>
      </c>
      <c r="N13" s="11">
        <f t="shared" si="10"/>
        <v>516.75</v>
      </c>
      <c r="O13" s="11">
        <f t="shared" si="10"/>
        <v>516.75</v>
      </c>
      <c r="P13" s="11">
        <f t="shared" si="10"/>
        <v>516.75</v>
      </c>
      <c r="Q13" s="11">
        <f t="shared" si="10"/>
        <v>530</v>
      </c>
      <c r="R13" s="11">
        <f t="shared" si="10"/>
        <v>516.75</v>
      </c>
      <c r="S13" s="13">
        <f t="shared" si="11"/>
        <v>0</v>
      </c>
      <c r="T13" s="13">
        <f t="shared" si="3"/>
        <v>0</v>
      </c>
      <c r="U13" s="13">
        <f t="shared" si="3"/>
        <v>0</v>
      </c>
      <c r="V13" s="13">
        <f t="shared" si="3"/>
        <v>0</v>
      </c>
      <c r="W13" s="13">
        <f t="shared" si="3"/>
        <v>0</v>
      </c>
      <c r="X13" s="9">
        <f>N13+S13</f>
        <v>516.75</v>
      </c>
      <c r="Y13" s="9">
        <f t="shared" si="4"/>
        <v>516.75</v>
      </c>
      <c r="Z13" s="9">
        <f t="shared" si="4"/>
        <v>516.75</v>
      </c>
      <c r="AA13" s="9">
        <f t="shared" si="4"/>
        <v>530</v>
      </c>
      <c r="AB13" s="9">
        <f t="shared" si="4"/>
        <v>516.75</v>
      </c>
      <c r="AD13" s="1">
        <f t="shared" si="12"/>
        <v>2597</v>
      </c>
    </row>
    <row r="14" spans="1:30" x14ac:dyDescent="0.2">
      <c r="A14" t="s">
        <v>33</v>
      </c>
      <c r="B14" t="s">
        <v>34</v>
      </c>
      <c r="C14" s="1">
        <v>13.5</v>
      </c>
      <c r="D14" s="5">
        <v>42</v>
      </c>
      <c r="E14" s="5">
        <v>40</v>
      </c>
      <c r="F14" s="5">
        <v>41</v>
      </c>
      <c r="G14" s="5">
        <v>40</v>
      </c>
      <c r="H14" s="5">
        <v>41</v>
      </c>
      <c r="I14" s="7">
        <f t="shared" si="5"/>
        <v>2</v>
      </c>
      <c r="J14" s="7">
        <f t="shared" si="6"/>
        <v>0</v>
      </c>
      <c r="K14" s="7">
        <f t="shared" si="7"/>
        <v>1</v>
      </c>
      <c r="L14" s="7">
        <f t="shared" si="8"/>
        <v>0</v>
      </c>
      <c r="M14" s="7">
        <f t="shared" si="9"/>
        <v>1</v>
      </c>
      <c r="N14" s="11">
        <f t="shared" si="10"/>
        <v>567</v>
      </c>
      <c r="O14" s="11">
        <f t="shared" si="10"/>
        <v>540</v>
      </c>
      <c r="P14" s="11">
        <f t="shared" si="10"/>
        <v>553.5</v>
      </c>
      <c r="Q14" s="11">
        <f t="shared" si="10"/>
        <v>540</v>
      </c>
      <c r="R14" s="11">
        <f t="shared" si="10"/>
        <v>553.5</v>
      </c>
      <c r="S14" s="13">
        <f t="shared" si="11"/>
        <v>13.5</v>
      </c>
      <c r="T14" s="13">
        <f t="shared" si="3"/>
        <v>0</v>
      </c>
      <c r="U14" s="13">
        <f t="shared" si="3"/>
        <v>6.75</v>
      </c>
      <c r="V14" s="13">
        <f t="shared" si="3"/>
        <v>0</v>
      </c>
      <c r="W14" s="13">
        <f t="shared" si="3"/>
        <v>6.75</v>
      </c>
      <c r="X14" s="9">
        <f>N14+S14</f>
        <v>580.5</v>
      </c>
      <c r="Y14" s="9">
        <f t="shared" si="4"/>
        <v>540</v>
      </c>
      <c r="Z14" s="9">
        <f t="shared" si="4"/>
        <v>560.25</v>
      </c>
      <c r="AA14" s="9">
        <f t="shared" si="4"/>
        <v>540</v>
      </c>
      <c r="AB14" s="9">
        <f t="shared" si="4"/>
        <v>560.25</v>
      </c>
      <c r="AD14" s="1">
        <f t="shared" si="12"/>
        <v>2781</v>
      </c>
    </row>
    <row r="15" spans="1:30" x14ac:dyDescent="0.2">
      <c r="A15" t="s">
        <v>11</v>
      </c>
      <c r="B15" t="s">
        <v>12</v>
      </c>
      <c r="C15" s="1">
        <v>13.8</v>
      </c>
      <c r="D15" s="5">
        <v>35</v>
      </c>
      <c r="E15" s="5">
        <v>38</v>
      </c>
      <c r="F15" s="5">
        <v>39</v>
      </c>
      <c r="G15" s="5">
        <v>35</v>
      </c>
      <c r="H15" s="5">
        <v>39</v>
      </c>
      <c r="I15" s="7">
        <f t="shared" si="5"/>
        <v>0</v>
      </c>
      <c r="J15" s="7">
        <f t="shared" si="6"/>
        <v>0</v>
      </c>
      <c r="K15" s="7">
        <f t="shared" si="7"/>
        <v>0</v>
      </c>
      <c r="L15" s="7">
        <f t="shared" si="8"/>
        <v>0</v>
      </c>
      <c r="M15" s="7">
        <f t="shared" si="9"/>
        <v>0</v>
      </c>
      <c r="N15" s="11">
        <f t="shared" si="10"/>
        <v>483</v>
      </c>
      <c r="O15" s="11">
        <f t="shared" si="10"/>
        <v>524.4</v>
      </c>
      <c r="P15" s="11">
        <f t="shared" si="10"/>
        <v>538.20000000000005</v>
      </c>
      <c r="Q15" s="11">
        <f t="shared" si="10"/>
        <v>483</v>
      </c>
      <c r="R15" s="11">
        <f t="shared" si="10"/>
        <v>538.20000000000005</v>
      </c>
      <c r="S15" s="13">
        <f t="shared" si="11"/>
        <v>0</v>
      </c>
      <c r="T15" s="13">
        <f t="shared" si="3"/>
        <v>0</v>
      </c>
      <c r="U15" s="13">
        <f t="shared" si="3"/>
        <v>0</v>
      </c>
      <c r="V15" s="13">
        <f t="shared" si="3"/>
        <v>0</v>
      </c>
      <c r="W15" s="13">
        <f t="shared" si="3"/>
        <v>0</v>
      </c>
      <c r="X15" s="9">
        <f>N15+S15</f>
        <v>483</v>
      </c>
      <c r="Y15" s="9">
        <f t="shared" si="4"/>
        <v>524.4</v>
      </c>
      <c r="Z15" s="9">
        <f t="shared" si="4"/>
        <v>538.20000000000005</v>
      </c>
      <c r="AA15" s="9">
        <f t="shared" si="4"/>
        <v>483</v>
      </c>
      <c r="AB15" s="9">
        <f t="shared" si="4"/>
        <v>538.20000000000005</v>
      </c>
      <c r="AD15" s="1">
        <f t="shared" si="12"/>
        <v>2566.8000000000002</v>
      </c>
    </row>
    <row r="16" spans="1:30" x14ac:dyDescent="0.2">
      <c r="A16" t="s">
        <v>13</v>
      </c>
      <c r="B16" t="s">
        <v>14</v>
      </c>
      <c r="C16" s="1">
        <v>19.399999999999999</v>
      </c>
      <c r="D16" s="5">
        <v>44</v>
      </c>
      <c r="E16" s="5">
        <v>45</v>
      </c>
      <c r="F16" s="5">
        <v>40</v>
      </c>
      <c r="G16" s="5">
        <v>42</v>
      </c>
      <c r="H16" s="5">
        <v>45</v>
      </c>
      <c r="I16" s="7">
        <f t="shared" si="5"/>
        <v>4</v>
      </c>
      <c r="J16" s="7">
        <f t="shared" si="6"/>
        <v>5</v>
      </c>
      <c r="K16" s="7">
        <f t="shared" si="7"/>
        <v>0</v>
      </c>
      <c r="L16" s="7">
        <f t="shared" si="8"/>
        <v>2</v>
      </c>
      <c r="M16" s="7">
        <f t="shared" si="9"/>
        <v>5</v>
      </c>
      <c r="N16" s="11">
        <f t="shared" si="10"/>
        <v>853.59999999999991</v>
      </c>
      <c r="O16" s="11">
        <f t="shared" si="10"/>
        <v>872.99999999999989</v>
      </c>
      <c r="P16" s="11">
        <f t="shared" si="10"/>
        <v>776</v>
      </c>
      <c r="Q16" s="11">
        <f t="shared" si="10"/>
        <v>814.8</v>
      </c>
      <c r="R16" s="11">
        <f t="shared" si="10"/>
        <v>872.99999999999989</v>
      </c>
      <c r="S16" s="13">
        <f t="shared" si="11"/>
        <v>38.799999999999997</v>
      </c>
      <c r="T16" s="13">
        <f t="shared" si="3"/>
        <v>48.5</v>
      </c>
      <c r="U16" s="13">
        <f t="shared" si="3"/>
        <v>0</v>
      </c>
      <c r="V16" s="13">
        <f t="shared" si="3"/>
        <v>19.399999999999999</v>
      </c>
      <c r="W16" s="13">
        <f t="shared" si="3"/>
        <v>48.5</v>
      </c>
      <c r="X16" s="9">
        <f>N16+S16</f>
        <v>892.39999999999986</v>
      </c>
      <c r="Y16" s="9">
        <f t="shared" si="4"/>
        <v>921.49999999999989</v>
      </c>
      <c r="Z16" s="9">
        <f t="shared" si="4"/>
        <v>776</v>
      </c>
      <c r="AA16" s="9">
        <f t="shared" si="4"/>
        <v>834.19999999999993</v>
      </c>
      <c r="AB16" s="9">
        <f t="shared" si="4"/>
        <v>921.49999999999989</v>
      </c>
      <c r="AD16" s="1">
        <f t="shared" si="12"/>
        <v>4345.5999999999995</v>
      </c>
    </row>
    <row r="17" spans="1:30" x14ac:dyDescent="0.2">
      <c r="A17" t="s">
        <v>15</v>
      </c>
      <c r="B17" t="s">
        <v>16</v>
      </c>
      <c r="C17" s="1">
        <v>15.75</v>
      </c>
      <c r="D17" s="5">
        <v>40</v>
      </c>
      <c r="E17" s="5">
        <v>40</v>
      </c>
      <c r="F17" s="5">
        <v>39</v>
      </c>
      <c r="G17" s="5">
        <v>40</v>
      </c>
      <c r="H17" s="5">
        <v>39</v>
      </c>
      <c r="I17" s="7">
        <f t="shared" si="5"/>
        <v>0</v>
      </c>
      <c r="J17" s="7">
        <f t="shared" si="6"/>
        <v>0</v>
      </c>
      <c r="K17" s="7">
        <f t="shared" si="7"/>
        <v>0</v>
      </c>
      <c r="L17" s="7">
        <f t="shared" si="8"/>
        <v>0</v>
      </c>
      <c r="M17" s="7">
        <f t="shared" si="9"/>
        <v>0</v>
      </c>
      <c r="N17" s="11">
        <f t="shared" si="10"/>
        <v>630</v>
      </c>
      <c r="O17" s="11">
        <f t="shared" si="10"/>
        <v>630</v>
      </c>
      <c r="P17" s="11">
        <f t="shared" si="10"/>
        <v>614.25</v>
      </c>
      <c r="Q17" s="11">
        <f t="shared" si="10"/>
        <v>630</v>
      </c>
      <c r="R17" s="11">
        <f t="shared" si="10"/>
        <v>614.25</v>
      </c>
      <c r="S17" s="13">
        <f t="shared" si="11"/>
        <v>0</v>
      </c>
      <c r="T17" s="13">
        <f t="shared" si="3"/>
        <v>0</v>
      </c>
      <c r="U17" s="13">
        <f t="shared" si="3"/>
        <v>0</v>
      </c>
      <c r="V17" s="13">
        <f t="shared" si="3"/>
        <v>0</v>
      </c>
      <c r="W17" s="13">
        <f t="shared" si="3"/>
        <v>0</v>
      </c>
      <c r="X17" s="9">
        <f>N17+S17</f>
        <v>630</v>
      </c>
      <c r="Y17" s="9">
        <f t="shared" si="4"/>
        <v>630</v>
      </c>
      <c r="Z17" s="9">
        <f t="shared" si="4"/>
        <v>614.25</v>
      </c>
      <c r="AA17" s="9">
        <f t="shared" si="4"/>
        <v>630</v>
      </c>
      <c r="AB17" s="9">
        <f t="shared" si="4"/>
        <v>614.25</v>
      </c>
      <c r="AD17" s="1">
        <f t="shared" si="12"/>
        <v>3118.5</v>
      </c>
    </row>
    <row r="18" spans="1:30" x14ac:dyDescent="0.2">
      <c r="A18" t="s">
        <v>25</v>
      </c>
      <c r="B18" t="s">
        <v>26</v>
      </c>
      <c r="C18" s="1">
        <v>15.9</v>
      </c>
      <c r="D18" s="5">
        <v>43</v>
      </c>
      <c r="E18" s="5">
        <v>42</v>
      </c>
      <c r="F18" s="5">
        <v>41</v>
      </c>
      <c r="G18" s="5">
        <v>39</v>
      </c>
      <c r="H18" s="5">
        <v>40</v>
      </c>
      <c r="I18" s="7">
        <f t="shared" si="5"/>
        <v>3</v>
      </c>
      <c r="J18" s="7">
        <f t="shared" si="6"/>
        <v>2</v>
      </c>
      <c r="K18" s="7">
        <f t="shared" si="7"/>
        <v>1</v>
      </c>
      <c r="L18" s="7">
        <f t="shared" si="8"/>
        <v>0</v>
      </c>
      <c r="M18" s="7">
        <f t="shared" si="9"/>
        <v>0</v>
      </c>
      <c r="N18" s="11">
        <f t="shared" si="10"/>
        <v>683.7</v>
      </c>
      <c r="O18" s="11">
        <f t="shared" si="10"/>
        <v>667.80000000000007</v>
      </c>
      <c r="P18" s="11">
        <f t="shared" si="10"/>
        <v>651.9</v>
      </c>
      <c r="Q18" s="11">
        <f t="shared" si="10"/>
        <v>620.1</v>
      </c>
      <c r="R18" s="11">
        <f t="shared" si="10"/>
        <v>636</v>
      </c>
      <c r="S18" s="13">
        <f t="shared" si="11"/>
        <v>23.85</v>
      </c>
      <c r="T18" s="13">
        <f t="shared" si="3"/>
        <v>15.9</v>
      </c>
      <c r="U18" s="13">
        <f t="shared" si="3"/>
        <v>7.95</v>
      </c>
      <c r="V18" s="13">
        <f t="shared" si="3"/>
        <v>0</v>
      </c>
      <c r="W18" s="13">
        <f t="shared" si="3"/>
        <v>0</v>
      </c>
      <c r="X18" s="9">
        <f>N18+S18</f>
        <v>707.55000000000007</v>
      </c>
      <c r="Y18" s="9">
        <f t="shared" si="4"/>
        <v>683.7</v>
      </c>
      <c r="Z18" s="9">
        <f t="shared" si="4"/>
        <v>659.85</v>
      </c>
      <c r="AA18" s="9">
        <f t="shared" si="4"/>
        <v>620.1</v>
      </c>
      <c r="AB18" s="9">
        <f t="shared" si="4"/>
        <v>636</v>
      </c>
      <c r="AD18" s="1">
        <f t="shared" si="12"/>
        <v>3307.2</v>
      </c>
    </row>
    <row r="19" spans="1:30" x14ac:dyDescent="0.2">
      <c r="A19" t="s">
        <v>31</v>
      </c>
      <c r="B19" t="s">
        <v>32</v>
      </c>
      <c r="C19" s="1">
        <v>16.7</v>
      </c>
      <c r="D19" s="5">
        <v>38</v>
      </c>
      <c r="E19" s="5">
        <v>39</v>
      </c>
      <c r="F19" s="5">
        <v>40</v>
      </c>
      <c r="G19" s="5">
        <v>42</v>
      </c>
      <c r="H19" s="5">
        <v>40</v>
      </c>
      <c r="I19" s="7">
        <f t="shared" si="5"/>
        <v>0</v>
      </c>
      <c r="J19" s="7">
        <f t="shared" si="6"/>
        <v>0</v>
      </c>
      <c r="K19" s="7">
        <f t="shared" si="7"/>
        <v>0</v>
      </c>
      <c r="L19" s="7">
        <f t="shared" si="8"/>
        <v>2</v>
      </c>
      <c r="M19" s="7">
        <f t="shared" si="9"/>
        <v>0</v>
      </c>
      <c r="N19" s="11">
        <f t="shared" si="10"/>
        <v>634.6</v>
      </c>
      <c r="O19" s="11">
        <f t="shared" si="10"/>
        <v>651.29999999999995</v>
      </c>
      <c r="P19" s="11">
        <f t="shared" si="10"/>
        <v>668</v>
      </c>
      <c r="Q19" s="11">
        <f t="shared" si="10"/>
        <v>701.4</v>
      </c>
      <c r="R19" s="11">
        <f t="shared" si="10"/>
        <v>668</v>
      </c>
      <c r="S19" s="13">
        <f t="shared" si="11"/>
        <v>0</v>
      </c>
      <c r="T19" s="13">
        <f t="shared" si="3"/>
        <v>0</v>
      </c>
      <c r="U19" s="13">
        <f t="shared" si="3"/>
        <v>0</v>
      </c>
      <c r="V19" s="13">
        <f t="shared" si="3"/>
        <v>16.7</v>
      </c>
      <c r="W19" s="13">
        <f t="shared" si="3"/>
        <v>0</v>
      </c>
      <c r="X19" s="9">
        <f>N19+S19</f>
        <v>634.6</v>
      </c>
      <c r="Y19" s="9">
        <f t="shared" si="4"/>
        <v>651.29999999999995</v>
      </c>
      <c r="Z19" s="9">
        <f t="shared" si="4"/>
        <v>668</v>
      </c>
      <c r="AA19" s="9">
        <f t="shared" si="4"/>
        <v>718.1</v>
      </c>
      <c r="AB19" s="9">
        <f t="shared" si="4"/>
        <v>668</v>
      </c>
      <c r="AD19" s="1">
        <f t="shared" si="12"/>
        <v>3340</v>
      </c>
    </row>
    <row r="20" spans="1:30" x14ac:dyDescent="0.2">
      <c r="A20" t="s">
        <v>17</v>
      </c>
      <c r="B20" t="s">
        <v>18</v>
      </c>
      <c r="C20" s="1">
        <v>17.3</v>
      </c>
      <c r="D20" s="5">
        <v>37</v>
      </c>
      <c r="E20" s="5">
        <v>38</v>
      </c>
      <c r="F20" s="5">
        <v>37</v>
      </c>
      <c r="G20" s="5">
        <v>35</v>
      </c>
      <c r="H20" s="5">
        <v>40</v>
      </c>
      <c r="I20" s="7">
        <f t="shared" si="5"/>
        <v>0</v>
      </c>
      <c r="J20" s="7">
        <f t="shared" si="6"/>
        <v>0</v>
      </c>
      <c r="K20" s="7">
        <f t="shared" si="7"/>
        <v>0</v>
      </c>
      <c r="L20" s="7">
        <f t="shared" si="8"/>
        <v>0</v>
      </c>
      <c r="M20" s="7">
        <f t="shared" si="9"/>
        <v>0</v>
      </c>
      <c r="N20" s="11">
        <f t="shared" si="10"/>
        <v>640.1</v>
      </c>
      <c r="O20" s="11">
        <f t="shared" si="10"/>
        <v>657.4</v>
      </c>
      <c r="P20" s="11">
        <f t="shared" si="10"/>
        <v>640.1</v>
      </c>
      <c r="Q20" s="11">
        <f t="shared" si="10"/>
        <v>605.5</v>
      </c>
      <c r="R20" s="11">
        <f t="shared" si="10"/>
        <v>692</v>
      </c>
      <c r="S20" s="13">
        <f t="shared" si="11"/>
        <v>0</v>
      </c>
      <c r="T20" s="13">
        <f t="shared" ref="T20:T23" si="13">0.5*$C20*J20</f>
        <v>0</v>
      </c>
      <c r="U20" s="13">
        <f t="shared" ref="U20:U23" si="14">0.5*$C20*K20</f>
        <v>0</v>
      </c>
      <c r="V20" s="13">
        <f t="shared" ref="V20:V23" si="15">0.5*$C20*L20</f>
        <v>0</v>
      </c>
      <c r="W20" s="13">
        <f t="shared" ref="W20:W23" si="16">0.5*$C20*M20</f>
        <v>0</v>
      </c>
      <c r="X20" s="9">
        <f>N20+S20</f>
        <v>640.1</v>
      </c>
      <c r="Y20" s="9">
        <f t="shared" ref="Y20:AB23" si="17">O20+T20</f>
        <v>657.4</v>
      </c>
      <c r="Z20" s="9">
        <f t="shared" si="17"/>
        <v>640.1</v>
      </c>
      <c r="AA20" s="9">
        <f t="shared" si="17"/>
        <v>605.5</v>
      </c>
      <c r="AB20" s="9">
        <f t="shared" si="17"/>
        <v>692</v>
      </c>
      <c r="AD20" s="1">
        <f t="shared" si="12"/>
        <v>3235.1</v>
      </c>
    </row>
    <row r="21" spans="1:30" x14ac:dyDescent="0.2">
      <c r="A21" t="s">
        <v>27</v>
      </c>
      <c r="B21" t="s">
        <v>28</v>
      </c>
      <c r="C21" s="1">
        <v>18.600000000000001</v>
      </c>
      <c r="D21" s="5">
        <v>36</v>
      </c>
      <c r="E21" s="5">
        <v>37</v>
      </c>
      <c r="F21" s="5">
        <v>38</v>
      </c>
      <c r="G21" s="5">
        <v>35</v>
      </c>
      <c r="H21" s="5">
        <v>38</v>
      </c>
      <c r="I21" s="7">
        <f t="shared" si="5"/>
        <v>0</v>
      </c>
      <c r="J21" s="7">
        <f t="shared" si="6"/>
        <v>0</v>
      </c>
      <c r="K21" s="7">
        <f t="shared" si="7"/>
        <v>0</v>
      </c>
      <c r="L21" s="7">
        <f t="shared" si="8"/>
        <v>0</v>
      </c>
      <c r="M21" s="7">
        <f t="shared" si="9"/>
        <v>0</v>
      </c>
      <c r="N21" s="11">
        <f t="shared" si="10"/>
        <v>669.6</v>
      </c>
      <c r="O21" s="11">
        <f t="shared" si="10"/>
        <v>688.2</v>
      </c>
      <c r="P21" s="11">
        <f t="shared" si="10"/>
        <v>706.80000000000007</v>
      </c>
      <c r="Q21" s="11">
        <f t="shared" si="10"/>
        <v>651</v>
      </c>
      <c r="R21" s="11">
        <f t="shared" si="10"/>
        <v>706.80000000000007</v>
      </c>
      <c r="S21" s="13">
        <f t="shared" si="11"/>
        <v>0</v>
      </c>
      <c r="T21" s="13">
        <f t="shared" si="13"/>
        <v>0</v>
      </c>
      <c r="U21" s="13">
        <f t="shared" si="14"/>
        <v>0</v>
      </c>
      <c r="V21" s="13">
        <f t="shared" si="15"/>
        <v>0</v>
      </c>
      <c r="W21" s="13">
        <f t="shared" si="16"/>
        <v>0</v>
      </c>
      <c r="X21" s="9">
        <f>N21+S21</f>
        <v>669.6</v>
      </c>
      <c r="Y21" s="9">
        <f t="shared" si="17"/>
        <v>688.2</v>
      </c>
      <c r="Z21" s="9">
        <f t="shared" si="17"/>
        <v>706.80000000000007</v>
      </c>
      <c r="AA21" s="9">
        <f t="shared" si="17"/>
        <v>651</v>
      </c>
      <c r="AB21" s="9">
        <f t="shared" si="17"/>
        <v>706.80000000000007</v>
      </c>
      <c r="AD21" s="1">
        <f t="shared" si="12"/>
        <v>3422.4000000000005</v>
      </c>
    </row>
    <row r="22" spans="1:30" x14ac:dyDescent="0.2">
      <c r="A22" t="s">
        <v>29</v>
      </c>
      <c r="B22" t="s">
        <v>30</v>
      </c>
      <c r="C22" s="1">
        <v>14.85</v>
      </c>
      <c r="D22" s="5">
        <v>40</v>
      </c>
      <c r="E22" s="5">
        <v>40</v>
      </c>
      <c r="F22" s="5">
        <v>40</v>
      </c>
      <c r="G22" s="5">
        <v>41</v>
      </c>
      <c r="H22" s="5">
        <v>37</v>
      </c>
      <c r="I22" s="7">
        <f t="shared" si="5"/>
        <v>0</v>
      </c>
      <c r="J22" s="7">
        <f t="shared" si="6"/>
        <v>0</v>
      </c>
      <c r="K22" s="7">
        <f t="shared" si="7"/>
        <v>0</v>
      </c>
      <c r="L22" s="7">
        <f t="shared" si="8"/>
        <v>1</v>
      </c>
      <c r="M22" s="7">
        <f t="shared" si="9"/>
        <v>0</v>
      </c>
      <c r="N22" s="11">
        <f t="shared" si="10"/>
        <v>594</v>
      </c>
      <c r="O22" s="11">
        <f t="shared" si="10"/>
        <v>594</v>
      </c>
      <c r="P22" s="11">
        <f t="shared" si="10"/>
        <v>594</v>
      </c>
      <c r="Q22" s="11">
        <f t="shared" si="10"/>
        <v>608.85</v>
      </c>
      <c r="R22" s="11">
        <f t="shared" si="10"/>
        <v>549.44999999999993</v>
      </c>
      <c r="S22" s="13">
        <f t="shared" si="11"/>
        <v>0</v>
      </c>
      <c r="T22" s="13">
        <f t="shared" si="13"/>
        <v>0</v>
      </c>
      <c r="U22" s="13">
        <f t="shared" si="14"/>
        <v>0</v>
      </c>
      <c r="V22" s="13">
        <f t="shared" si="15"/>
        <v>7.4249999999999998</v>
      </c>
      <c r="W22" s="13">
        <f t="shared" si="16"/>
        <v>0</v>
      </c>
      <c r="X22" s="9">
        <f>N22+S22</f>
        <v>594</v>
      </c>
      <c r="Y22" s="9">
        <f t="shared" si="17"/>
        <v>594</v>
      </c>
      <c r="Z22" s="9">
        <f t="shared" si="17"/>
        <v>594</v>
      </c>
      <c r="AA22" s="9">
        <f t="shared" si="17"/>
        <v>616.27499999999998</v>
      </c>
      <c r="AB22" s="9">
        <f t="shared" si="17"/>
        <v>549.44999999999993</v>
      </c>
      <c r="AD22" s="1">
        <f t="shared" si="12"/>
        <v>2947.7249999999999</v>
      </c>
    </row>
    <row r="23" spans="1:30" x14ac:dyDescent="0.2">
      <c r="A23" t="s">
        <v>19</v>
      </c>
      <c r="B23" t="s">
        <v>20</v>
      </c>
      <c r="C23" s="1">
        <v>14.1</v>
      </c>
      <c r="D23" s="5">
        <v>41</v>
      </c>
      <c r="E23" s="5">
        <v>40</v>
      </c>
      <c r="F23" s="5">
        <v>42</v>
      </c>
      <c r="G23" s="5">
        <v>39</v>
      </c>
      <c r="H23" s="5">
        <v>41</v>
      </c>
      <c r="I23" s="7">
        <f t="shared" si="5"/>
        <v>1</v>
      </c>
      <c r="J23" s="7">
        <f t="shared" si="6"/>
        <v>0</v>
      </c>
      <c r="K23" s="7">
        <f t="shared" si="7"/>
        <v>2</v>
      </c>
      <c r="L23" s="7">
        <f t="shared" si="8"/>
        <v>0</v>
      </c>
      <c r="M23" s="7">
        <f t="shared" si="9"/>
        <v>1</v>
      </c>
      <c r="N23" s="11">
        <f t="shared" si="10"/>
        <v>578.1</v>
      </c>
      <c r="O23" s="11">
        <f t="shared" si="10"/>
        <v>564</v>
      </c>
      <c r="P23" s="11">
        <f t="shared" si="10"/>
        <v>592.19999999999993</v>
      </c>
      <c r="Q23" s="11">
        <f t="shared" si="10"/>
        <v>549.9</v>
      </c>
      <c r="R23" s="11">
        <f t="shared" si="10"/>
        <v>578.1</v>
      </c>
      <c r="S23" s="13">
        <f t="shared" si="11"/>
        <v>7.05</v>
      </c>
      <c r="T23" s="13">
        <f t="shared" si="13"/>
        <v>0</v>
      </c>
      <c r="U23" s="13">
        <f t="shared" si="14"/>
        <v>14.1</v>
      </c>
      <c r="V23" s="13">
        <f t="shared" si="15"/>
        <v>0</v>
      </c>
      <c r="W23" s="13">
        <f t="shared" si="16"/>
        <v>7.05</v>
      </c>
      <c r="X23" s="9">
        <f>N23+S23</f>
        <v>585.15</v>
      </c>
      <c r="Y23" s="9">
        <f t="shared" si="17"/>
        <v>564</v>
      </c>
      <c r="Z23" s="9">
        <f t="shared" si="17"/>
        <v>606.29999999999995</v>
      </c>
      <c r="AA23" s="9">
        <f t="shared" si="17"/>
        <v>549.9</v>
      </c>
      <c r="AB23" s="9">
        <f t="shared" si="17"/>
        <v>585.15</v>
      </c>
      <c r="AD23" s="1">
        <f t="shared" si="12"/>
        <v>2890.5</v>
      </c>
    </row>
    <row r="24" spans="1:30" x14ac:dyDescent="0.2">
      <c r="P24" s="1"/>
    </row>
    <row r="25" spans="1:30" x14ac:dyDescent="0.2">
      <c r="A25" t="s">
        <v>47</v>
      </c>
      <c r="C25" s="1">
        <f>MAX(C4:C23)</f>
        <v>22.5</v>
      </c>
      <c r="D25" s="2">
        <f t="shared" ref="D25:N25" si="18">MAX(D4:D23)</f>
        <v>45</v>
      </c>
      <c r="E25" s="2"/>
      <c r="F25" s="2"/>
      <c r="G25" s="2"/>
      <c r="H25" s="2"/>
      <c r="I25" s="2"/>
      <c r="J25" s="2"/>
      <c r="K25" s="2"/>
      <c r="L25" s="2"/>
      <c r="M25" s="2"/>
      <c r="N25" s="1">
        <f t="shared" si="18"/>
        <v>1012.5</v>
      </c>
      <c r="O25" s="1">
        <f t="shared" ref="O25:AB25" si="19">MAX(O4:O23)</f>
        <v>945</v>
      </c>
      <c r="P25" s="1">
        <f t="shared" si="19"/>
        <v>922.5</v>
      </c>
      <c r="Q25" s="1">
        <f t="shared" si="19"/>
        <v>877.5</v>
      </c>
      <c r="R25" s="1">
        <f t="shared" si="19"/>
        <v>922.5</v>
      </c>
      <c r="S25" s="1">
        <f t="shared" si="19"/>
        <v>56.25</v>
      </c>
      <c r="T25" s="1">
        <f t="shared" si="19"/>
        <v>48.5</v>
      </c>
      <c r="U25" s="1">
        <f t="shared" si="19"/>
        <v>14.1</v>
      </c>
      <c r="V25" s="1">
        <f t="shared" si="19"/>
        <v>19.399999999999999</v>
      </c>
      <c r="W25" s="1">
        <f t="shared" si="19"/>
        <v>48.5</v>
      </c>
      <c r="X25" s="1">
        <f t="shared" si="19"/>
        <v>1068.75</v>
      </c>
      <c r="Y25" s="1">
        <f t="shared" si="19"/>
        <v>967.5</v>
      </c>
      <c r="Z25" s="1">
        <f t="shared" si="19"/>
        <v>933.75</v>
      </c>
      <c r="AA25" s="1">
        <f t="shared" si="19"/>
        <v>877.5</v>
      </c>
      <c r="AB25" s="1">
        <f t="shared" si="19"/>
        <v>933.75</v>
      </c>
      <c r="AD25" s="1">
        <f t="shared" ref="AD25" si="20">MAX(AD4:AD23)</f>
        <v>4781.25</v>
      </c>
    </row>
    <row r="26" spans="1:30" x14ac:dyDescent="0.2">
      <c r="A26" t="s">
        <v>48</v>
      </c>
      <c r="C26" s="1">
        <f>MIN(C4:C23)</f>
        <v>13.25</v>
      </c>
      <c r="D26" s="2">
        <f t="shared" ref="D26:N26" si="21">MIN(D4:D23)</f>
        <v>35</v>
      </c>
      <c r="E26" s="2"/>
      <c r="F26" s="2"/>
      <c r="G26" s="2"/>
      <c r="H26" s="2"/>
      <c r="I26" s="2"/>
      <c r="J26" s="2"/>
      <c r="K26" s="2"/>
      <c r="L26" s="2"/>
      <c r="M26" s="2"/>
      <c r="N26" s="1">
        <f t="shared" si="21"/>
        <v>483</v>
      </c>
      <c r="O26" s="1">
        <f t="shared" ref="O26:AB26" si="22">MIN(O4:O23)</f>
        <v>516.75</v>
      </c>
      <c r="P26" s="1">
        <f t="shared" si="22"/>
        <v>516.75</v>
      </c>
      <c r="Q26" s="1">
        <f t="shared" si="22"/>
        <v>483</v>
      </c>
      <c r="R26" s="1">
        <f t="shared" si="22"/>
        <v>516.75</v>
      </c>
      <c r="S26" s="1">
        <f t="shared" si="22"/>
        <v>0</v>
      </c>
      <c r="T26" s="1">
        <f t="shared" si="22"/>
        <v>0</v>
      </c>
      <c r="U26" s="1">
        <f t="shared" si="22"/>
        <v>0</v>
      </c>
      <c r="V26" s="1">
        <f t="shared" si="22"/>
        <v>0</v>
      </c>
      <c r="W26" s="1">
        <f t="shared" si="22"/>
        <v>0</v>
      </c>
      <c r="X26" s="1">
        <f t="shared" si="22"/>
        <v>483</v>
      </c>
      <c r="Y26" s="1">
        <f t="shared" si="22"/>
        <v>516.75</v>
      </c>
      <c r="Z26" s="1">
        <f t="shared" si="22"/>
        <v>516.75</v>
      </c>
      <c r="AA26" s="1">
        <f t="shared" si="22"/>
        <v>483</v>
      </c>
      <c r="AB26" s="1">
        <f t="shared" si="22"/>
        <v>516.75</v>
      </c>
      <c r="AD26" s="1">
        <f t="shared" ref="AD26" si="23">MIN(AD4:AD23)</f>
        <v>2566.8000000000002</v>
      </c>
    </row>
    <row r="27" spans="1:30" x14ac:dyDescent="0.2">
      <c r="A27" t="s">
        <v>49</v>
      </c>
      <c r="C27" s="1">
        <f>AVERAGE(C4:C23)</f>
        <v>16.567500000000006</v>
      </c>
      <c r="D27" s="3">
        <f t="shared" ref="D27:N27" si="24">AVERAGE(D4:D23)</f>
        <v>39.75</v>
      </c>
      <c r="E27" s="3"/>
      <c r="F27" s="3"/>
      <c r="G27" s="3"/>
      <c r="H27" s="3"/>
      <c r="I27" s="3"/>
      <c r="J27" s="3"/>
      <c r="K27" s="3"/>
      <c r="L27" s="3"/>
      <c r="M27" s="3"/>
      <c r="N27" s="1">
        <f t="shared" si="24"/>
        <v>659.65750000000014</v>
      </c>
      <c r="O27" s="1">
        <f t="shared" ref="O27:AB27" si="25">AVERAGE(O4:O23)</f>
        <v>658.58249999999987</v>
      </c>
      <c r="P27" s="1">
        <f t="shared" si="25"/>
        <v>652.53</v>
      </c>
      <c r="Q27" s="1">
        <f t="shared" si="25"/>
        <v>640.65</v>
      </c>
      <c r="R27" s="1">
        <f t="shared" si="25"/>
        <v>654.69499999999994</v>
      </c>
      <c r="S27" s="1">
        <f t="shared" si="25"/>
        <v>9.3725000000000005</v>
      </c>
      <c r="T27" s="1">
        <f t="shared" si="25"/>
        <v>5.7512500000000006</v>
      </c>
      <c r="U27" s="1">
        <f t="shared" si="25"/>
        <v>2.7700000000000005</v>
      </c>
      <c r="V27" s="1">
        <f t="shared" si="25"/>
        <v>2.6212499999999999</v>
      </c>
      <c r="W27" s="1">
        <f t="shared" si="25"/>
        <v>4.1749999999999998</v>
      </c>
      <c r="X27" s="1">
        <f t="shared" si="25"/>
        <v>669.03</v>
      </c>
      <c r="Y27" s="1">
        <f t="shared" si="25"/>
        <v>664.33375000000001</v>
      </c>
      <c r="Z27" s="1">
        <f t="shared" si="25"/>
        <v>655.29999999999995</v>
      </c>
      <c r="AA27" s="1">
        <f t="shared" si="25"/>
        <v>643.27125000000001</v>
      </c>
      <c r="AB27" s="1">
        <f t="shared" si="25"/>
        <v>658.87</v>
      </c>
      <c r="AD27" s="1">
        <f t="shared" ref="AD27" si="26">AVERAGE(AD4:AD23)</f>
        <v>3290.8050000000003</v>
      </c>
    </row>
    <row r="28" spans="1:30" x14ac:dyDescent="0.2">
      <c r="A28" t="s">
        <v>50</v>
      </c>
      <c r="C28" s="1">
        <f>SUM(C4:C23)</f>
        <v>331.35000000000014</v>
      </c>
      <c r="D28" s="2">
        <f t="shared" ref="D28:N28" si="27">SUM(D4:D23)</f>
        <v>795</v>
      </c>
      <c r="E28" s="2"/>
      <c r="F28" s="2"/>
      <c r="G28" s="2"/>
      <c r="H28" s="2"/>
      <c r="I28" s="2"/>
      <c r="J28" s="2"/>
      <c r="K28" s="2"/>
      <c r="L28" s="2"/>
      <c r="M28" s="2"/>
      <c r="N28" s="1">
        <f t="shared" si="27"/>
        <v>13193.150000000003</v>
      </c>
      <c r="O28" s="1">
        <f t="shared" ref="O28:AB28" si="28">SUM(O4:O23)</f>
        <v>13171.649999999998</v>
      </c>
      <c r="P28" s="1">
        <f t="shared" si="28"/>
        <v>13050.599999999999</v>
      </c>
      <c r="Q28" s="1">
        <f t="shared" si="28"/>
        <v>12813</v>
      </c>
      <c r="R28" s="1">
        <f t="shared" si="28"/>
        <v>13093.9</v>
      </c>
      <c r="S28" s="1">
        <f t="shared" si="28"/>
        <v>187.45000000000002</v>
      </c>
      <c r="T28" s="1">
        <f t="shared" si="28"/>
        <v>115.02500000000001</v>
      </c>
      <c r="U28" s="1">
        <f t="shared" si="28"/>
        <v>55.400000000000006</v>
      </c>
      <c r="V28" s="1">
        <f t="shared" si="28"/>
        <v>52.424999999999997</v>
      </c>
      <c r="W28" s="1">
        <f t="shared" si="28"/>
        <v>83.5</v>
      </c>
      <c r="X28" s="1">
        <f t="shared" si="28"/>
        <v>13380.6</v>
      </c>
      <c r="Y28" s="1">
        <f t="shared" si="28"/>
        <v>13286.674999999999</v>
      </c>
      <c r="Z28" s="1">
        <f t="shared" si="28"/>
        <v>13106</v>
      </c>
      <c r="AA28" s="1">
        <f t="shared" si="28"/>
        <v>12865.425000000001</v>
      </c>
      <c r="AB28" s="1">
        <f t="shared" si="28"/>
        <v>13177.4</v>
      </c>
      <c r="AD28" s="1">
        <f t="shared" ref="AD28" si="29">SUM(AD4:AD23)</f>
        <v>65816.100000000006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Subhomoy Haldar</dc:creator>
  <cp:lastModifiedBy>Subhomoy Haldar</cp:lastModifiedBy>
  <dcterms:created xsi:type="dcterms:W3CDTF">2026-01-12T05:32:34Z</dcterms:created>
  <dcterms:modified xsi:type="dcterms:W3CDTF">2026-01-12T12:29:01Z</dcterms:modified>
</cp:coreProperties>
</file>