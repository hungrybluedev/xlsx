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omoyhaldar/Documents/GitHub/VProjects/xlsx/spec/07_payroll_assignment_2/"/>
    </mc:Choice>
  </mc:AlternateContent>
  <xr:revisionPtr revIDLastSave="0" documentId="13_ncr:1_{98DC188A-A53E-2648-AC72-B79A9A449B81}" xr6:coauthVersionLast="47" xr6:coauthVersionMax="47" xr10:uidLastSave="{00000000-0000-0000-0000-000000000000}"/>
  <bookViews>
    <workbookView xWindow="0" yWindow="760" windowWidth="34560" windowHeight="20200" xr2:uid="{96AA7364-8B96-6946-85B1-48DB1A85E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H25" i="1"/>
  <c r="G26" i="1"/>
  <c r="H26" i="1"/>
  <c r="G27" i="1"/>
  <c r="H27" i="1"/>
  <c r="G28" i="1"/>
  <c r="H28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  <c r="D25" i="1"/>
  <c r="D26" i="1"/>
  <c r="D27" i="1"/>
  <c r="D28" i="1"/>
  <c r="C28" i="1"/>
  <c r="C27" i="1"/>
  <c r="C25" i="1"/>
  <c r="C26" i="1"/>
  <c r="F5" i="1"/>
  <c r="F6" i="1"/>
  <c r="F26" i="1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  <c r="F27" i="1" l="1"/>
  <c r="F25" i="1"/>
  <c r="F28" i="1"/>
</calcChain>
</file>

<file path=xl/sharedStrings.xml><?xml version="1.0" encoding="utf-8"?>
<sst xmlns="http://schemas.openxmlformats.org/spreadsheetml/2006/main" count="54" uniqueCount="53">
  <si>
    <t>Employee Payroll</t>
  </si>
  <si>
    <t>Subhomoy Haldar</t>
  </si>
  <si>
    <t>Last Name</t>
  </si>
  <si>
    <t>First Name</t>
  </si>
  <si>
    <t>Hourly Wage</t>
  </si>
  <si>
    <t>Hours Worked</t>
  </si>
  <si>
    <t>Pay</t>
  </si>
  <si>
    <t>Ashworth</t>
  </si>
  <si>
    <t>Eleanor</t>
  </si>
  <si>
    <t>Blackwood</t>
  </si>
  <si>
    <t>Oliver</t>
  </si>
  <si>
    <t>Cholmondeley</t>
  </si>
  <si>
    <t>Harriet</t>
  </si>
  <si>
    <t>Darcy</t>
  </si>
  <si>
    <t>Edmund</t>
  </si>
  <si>
    <t>Ellingham</t>
  </si>
  <si>
    <t>Beatrice</t>
  </si>
  <si>
    <t>Fairfax</t>
  </si>
  <si>
    <t>Rupert</t>
  </si>
  <si>
    <t>Grimshaw</t>
  </si>
  <si>
    <t>Philippa</t>
  </si>
  <si>
    <t>Hartley</t>
  </si>
  <si>
    <t>Sebastian</t>
  </si>
  <si>
    <t>Ingham</t>
  </si>
  <si>
    <t>Cordelia</t>
  </si>
  <si>
    <t>Jarvis</t>
  </si>
  <si>
    <t>Theodore</t>
  </si>
  <si>
    <t>Kensington</t>
  </si>
  <si>
    <t>Imogen</t>
  </si>
  <si>
    <t>Langley</t>
  </si>
  <si>
    <t>Alistair</t>
  </si>
  <si>
    <t>Moorhouse</t>
  </si>
  <si>
    <t>Penelope</t>
  </si>
  <si>
    <t>Nettleton</t>
  </si>
  <si>
    <t>Clive</t>
  </si>
  <si>
    <t>Ogilvie</t>
  </si>
  <si>
    <t>Rosalind</t>
  </si>
  <si>
    <t>Pemberton</t>
  </si>
  <si>
    <t>Hugh</t>
  </si>
  <si>
    <t>Quigley</t>
  </si>
  <si>
    <t>Arabella</t>
  </si>
  <si>
    <t>Rowntree</t>
  </si>
  <si>
    <t>Geoffrey</t>
  </si>
  <si>
    <t>Sinclair</t>
  </si>
  <si>
    <t>Felicity</t>
  </si>
  <si>
    <t>Thornton</t>
  </si>
  <si>
    <t>Nigel</t>
  </si>
  <si>
    <t>Max</t>
  </si>
  <si>
    <t>Min</t>
  </si>
  <si>
    <t>Average</t>
  </si>
  <si>
    <t>Total</t>
  </si>
  <si>
    <t>Overtime Hours</t>
  </si>
  <si>
    <t>Overtime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</si>
</sst>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_);[Red]\(&quot;£&quot;#,##0.00\)"/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8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6F2E-DCB8-2346-B6EB-2BDB84547B8C}">
  <dimension ref="A1:H28"/>
  <sheetViews>
    <sheetView tabSelected="1" workbookViewId="0">
      <selection activeCell="O16" sqref="O16"/>
    </sheetView>
  </sheetViews>
  <sheetFormatPr baseColWidth="10" defaultRowHeight="16" x14ac:dyDescent="0.2"/>
  <cols>
    <col min="1" max="1" width="14.83203125" bestFit="1" customWidth="1"/>
    <col min="4" max="4" width="12.5" bestFit="1" customWidth="1"/>
    <col min="5" max="5" width="13.83203125" bestFit="1" customWidth="1"/>
    <col min="7" max="7" width="14" bestFit="1" customWidth="1"/>
  </cols>
  <sheetData>
    <row r="1" spans="1:8" x14ac:dyDescent="0.2">
      <c r="A1" t="s">
        <v>0</v>
      </c>
      <c r="C1" t="s">
        <v>1</v>
      </c>
    </row>
    <row r="2" spans="1:8" x14ac:dyDescent="0.2">
      <c r="D2" t="s">
        <v>5</v>
      </c>
      <c r="E2" t="s">
        <v>51</v>
      </c>
      <c r="F2" t="s">
        <v>6</v>
      </c>
      <c r="G2" t="s">
        <v>52</v>
      </c>
      <c r="H2" t="s">
        <v>50</v>
      </c>
    </row>
    <row r="3" spans="1:8" x14ac:dyDescent="0.2">
      <c r="A3" t="s">
        <v>2</v>
      </c>
      <c r="B3" t="s">
        <v>3</v>
      </c>
      <c r="C3" t="s">
        <v>4</v>
      </c>
      <c r="D3" s="1">
        <v>46023</v>
      </c>
      <c r="E3" s="1"/>
    </row>
    <row r="4" spans="1:8" x14ac:dyDescent="0.2">
      <c r="A4" t="s">
        <v>41</v>
      </c>
      <c r="B4" t="s">
        <v>42</v>
      </c>
      <c r="C4" s="2">
        <v>17.8</v>
      </c>
      <c r="D4">
        <v>39</v>
      </c>
      <c r="E4">
        <f>IF(D4&gt;40,D4-40,0)</f>
        <v>0</v>
      </c>
      <c r="F4" s="2">
        <f>C4*D4</f>
        <v>694.2</v>
      </c>
      <c r="G4" s="2">
        <f>0.5*C4*E4</f>
        <v>0</v>
      </c>
      <c r="H4" s="2">
        <f>F4+G4</f>
        <v>694.2</v>
      </c>
    </row>
    <row r="5" spans="1:8" x14ac:dyDescent="0.2">
      <c r="A5" t="s">
        <v>43</v>
      </c>
      <c r="B5" t="s">
        <v>44</v>
      </c>
      <c r="C5" s="2">
        <v>19.899999999999999</v>
      </c>
      <c r="D5">
        <v>36</v>
      </c>
      <c r="E5">
        <f t="shared" ref="E5:E23" si="0">IF(D5&gt;40,D5-40,0)</f>
        <v>0</v>
      </c>
      <c r="F5" s="2">
        <f t="shared" ref="F5:F23" si="1">C5*D5</f>
        <v>716.4</v>
      </c>
      <c r="G5" s="2">
        <f t="shared" ref="G5:G23" si="2">0.5*C5*E5</f>
        <v>0</v>
      </c>
      <c r="H5" s="2">
        <f t="shared" ref="H5:H23" si="3">F5+G5</f>
        <v>716.4</v>
      </c>
    </row>
    <row r="6" spans="1:8" x14ac:dyDescent="0.2">
      <c r="A6" t="s">
        <v>45</v>
      </c>
      <c r="B6" t="s">
        <v>46</v>
      </c>
      <c r="C6" s="2">
        <v>16.45</v>
      </c>
      <c r="D6">
        <v>43</v>
      </c>
      <c r="E6">
        <f t="shared" si="0"/>
        <v>3</v>
      </c>
      <c r="F6" s="2">
        <f t="shared" si="1"/>
        <v>707.35</v>
      </c>
      <c r="G6" s="2">
        <f t="shared" si="2"/>
        <v>24.674999999999997</v>
      </c>
      <c r="H6" s="2">
        <f t="shared" si="3"/>
        <v>732.02499999999998</v>
      </c>
    </row>
    <row r="7" spans="1:8" x14ac:dyDescent="0.2">
      <c r="A7" t="s">
        <v>9</v>
      </c>
      <c r="B7" t="s">
        <v>10</v>
      </c>
      <c r="C7" s="2">
        <v>16.2</v>
      </c>
      <c r="D7">
        <v>42</v>
      </c>
      <c r="E7">
        <f t="shared" si="0"/>
        <v>2</v>
      </c>
      <c r="F7" s="2">
        <f t="shared" si="1"/>
        <v>680.4</v>
      </c>
      <c r="G7" s="2">
        <f t="shared" si="2"/>
        <v>16.2</v>
      </c>
      <c r="H7" s="2">
        <f t="shared" si="3"/>
        <v>696.6</v>
      </c>
    </row>
    <row r="8" spans="1:8" ht="15" customHeight="1" x14ac:dyDescent="0.2">
      <c r="A8" t="s">
        <v>7</v>
      </c>
      <c r="B8" t="s">
        <v>8</v>
      </c>
      <c r="C8" s="2">
        <v>14.5</v>
      </c>
      <c r="D8">
        <v>38</v>
      </c>
      <c r="E8">
        <f t="shared" si="0"/>
        <v>0</v>
      </c>
      <c r="F8" s="2">
        <f t="shared" si="1"/>
        <v>551</v>
      </c>
      <c r="G8" s="2">
        <f t="shared" si="2"/>
        <v>0</v>
      </c>
      <c r="H8" s="2">
        <f t="shared" si="3"/>
        <v>551</v>
      </c>
    </row>
    <row r="9" spans="1:8" x14ac:dyDescent="0.2">
      <c r="A9" t="s">
        <v>21</v>
      </c>
      <c r="B9" t="s">
        <v>22</v>
      </c>
      <c r="C9" s="2">
        <v>22.5</v>
      </c>
      <c r="D9">
        <v>45</v>
      </c>
      <c r="E9">
        <f t="shared" si="0"/>
        <v>5</v>
      </c>
      <c r="F9" s="2">
        <f t="shared" si="1"/>
        <v>1012.5</v>
      </c>
      <c r="G9" s="2">
        <f t="shared" si="2"/>
        <v>56.25</v>
      </c>
      <c r="H9" s="2">
        <f t="shared" si="3"/>
        <v>1068.75</v>
      </c>
    </row>
    <row r="10" spans="1:8" x14ac:dyDescent="0.2">
      <c r="A10" t="s">
        <v>35</v>
      </c>
      <c r="B10" t="s">
        <v>36</v>
      </c>
      <c r="C10" s="2">
        <v>21.2</v>
      </c>
      <c r="D10">
        <v>39</v>
      </c>
      <c r="E10">
        <f t="shared" si="0"/>
        <v>0</v>
      </c>
      <c r="F10" s="2">
        <f t="shared" si="1"/>
        <v>826.8</v>
      </c>
      <c r="G10" s="2">
        <f t="shared" si="2"/>
        <v>0</v>
      </c>
      <c r="H10" s="2">
        <f t="shared" si="3"/>
        <v>826.8</v>
      </c>
    </row>
    <row r="11" spans="1:8" x14ac:dyDescent="0.2">
      <c r="A11" t="s">
        <v>37</v>
      </c>
      <c r="B11" t="s">
        <v>38</v>
      </c>
      <c r="C11" s="2">
        <v>15.4</v>
      </c>
      <c r="D11">
        <v>37</v>
      </c>
      <c r="E11">
        <f t="shared" si="0"/>
        <v>0</v>
      </c>
      <c r="F11" s="2">
        <f t="shared" si="1"/>
        <v>569.80000000000007</v>
      </c>
      <c r="G11" s="2">
        <f t="shared" si="2"/>
        <v>0</v>
      </c>
      <c r="H11" s="2">
        <f t="shared" si="3"/>
        <v>569.80000000000007</v>
      </c>
    </row>
    <row r="12" spans="1:8" x14ac:dyDescent="0.2">
      <c r="A12" t="s">
        <v>39</v>
      </c>
      <c r="B12" t="s">
        <v>40</v>
      </c>
      <c r="C12" s="2">
        <v>14.25</v>
      </c>
      <c r="D12">
        <v>41</v>
      </c>
      <c r="E12">
        <f t="shared" si="0"/>
        <v>1</v>
      </c>
      <c r="F12" s="2">
        <f t="shared" si="1"/>
        <v>584.25</v>
      </c>
      <c r="G12" s="2">
        <f t="shared" si="2"/>
        <v>7.125</v>
      </c>
      <c r="H12" s="2">
        <f t="shared" si="3"/>
        <v>591.375</v>
      </c>
    </row>
    <row r="13" spans="1:8" x14ac:dyDescent="0.2">
      <c r="A13" t="s">
        <v>23</v>
      </c>
      <c r="B13" t="s">
        <v>24</v>
      </c>
      <c r="C13" s="2">
        <v>13.25</v>
      </c>
      <c r="D13">
        <v>39</v>
      </c>
      <c r="E13">
        <f t="shared" si="0"/>
        <v>0</v>
      </c>
      <c r="F13" s="2">
        <f t="shared" si="1"/>
        <v>516.75</v>
      </c>
      <c r="G13" s="2">
        <f t="shared" si="2"/>
        <v>0</v>
      </c>
      <c r="H13" s="2">
        <f t="shared" si="3"/>
        <v>516.75</v>
      </c>
    </row>
    <row r="14" spans="1:8" x14ac:dyDescent="0.2">
      <c r="A14" t="s">
        <v>33</v>
      </c>
      <c r="B14" t="s">
        <v>34</v>
      </c>
      <c r="C14" s="2">
        <v>13.5</v>
      </c>
      <c r="D14">
        <v>42</v>
      </c>
      <c r="E14">
        <f t="shared" si="0"/>
        <v>2</v>
      </c>
      <c r="F14" s="2">
        <f t="shared" si="1"/>
        <v>567</v>
      </c>
      <c r="G14" s="2">
        <f t="shared" si="2"/>
        <v>13.5</v>
      </c>
      <c r="H14" s="2">
        <f t="shared" si="3"/>
        <v>580.5</v>
      </c>
    </row>
    <row r="15" spans="1:8" x14ac:dyDescent="0.2">
      <c r="A15" t="s">
        <v>11</v>
      </c>
      <c r="B15" t="s">
        <v>12</v>
      </c>
      <c r="C15" s="2">
        <v>13.8</v>
      </c>
      <c r="D15">
        <v>35</v>
      </c>
      <c r="E15">
        <f t="shared" si="0"/>
        <v>0</v>
      </c>
      <c r="F15" s="2">
        <f t="shared" si="1"/>
        <v>483</v>
      </c>
      <c r="G15" s="2">
        <f t="shared" si="2"/>
        <v>0</v>
      </c>
      <c r="H15" s="2">
        <f t="shared" si="3"/>
        <v>483</v>
      </c>
    </row>
    <row r="16" spans="1:8" x14ac:dyDescent="0.2">
      <c r="A16" t="s">
        <v>13</v>
      </c>
      <c r="B16" t="s">
        <v>14</v>
      </c>
      <c r="C16" s="2">
        <v>19.399999999999999</v>
      </c>
      <c r="D16">
        <v>44</v>
      </c>
      <c r="E16">
        <f t="shared" si="0"/>
        <v>4</v>
      </c>
      <c r="F16" s="2">
        <f t="shared" si="1"/>
        <v>853.59999999999991</v>
      </c>
      <c r="G16" s="2">
        <f t="shared" si="2"/>
        <v>38.799999999999997</v>
      </c>
      <c r="H16" s="2">
        <f t="shared" si="3"/>
        <v>892.39999999999986</v>
      </c>
    </row>
    <row r="17" spans="1:8" x14ac:dyDescent="0.2">
      <c r="A17" t="s">
        <v>15</v>
      </c>
      <c r="B17" t="s">
        <v>16</v>
      </c>
      <c r="C17" s="2">
        <v>15.75</v>
      </c>
      <c r="D17">
        <v>40</v>
      </c>
      <c r="E17">
        <f t="shared" si="0"/>
        <v>0</v>
      </c>
      <c r="F17" s="2">
        <f t="shared" si="1"/>
        <v>630</v>
      </c>
      <c r="G17" s="2">
        <f t="shared" si="2"/>
        <v>0</v>
      </c>
      <c r="H17" s="2">
        <f t="shared" si="3"/>
        <v>630</v>
      </c>
    </row>
    <row r="18" spans="1:8" x14ac:dyDescent="0.2">
      <c r="A18" t="s">
        <v>25</v>
      </c>
      <c r="B18" t="s">
        <v>26</v>
      </c>
      <c r="C18" s="2">
        <v>15.9</v>
      </c>
      <c r="D18">
        <v>43</v>
      </c>
      <c r="E18">
        <f t="shared" si="0"/>
        <v>3</v>
      </c>
      <c r="F18" s="2">
        <f t="shared" si="1"/>
        <v>683.7</v>
      </c>
      <c r="G18" s="2">
        <f t="shared" si="2"/>
        <v>23.85</v>
      </c>
      <c r="H18" s="2">
        <f t="shared" si="3"/>
        <v>707.55000000000007</v>
      </c>
    </row>
    <row r="19" spans="1:8" x14ac:dyDescent="0.2">
      <c r="A19" t="s">
        <v>31</v>
      </c>
      <c r="B19" t="s">
        <v>32</v>
      </c>
      <c r="C19" s="2">
        <v>16.7</v>
      </c>
      <c r="D19">
        <v>38</v>
      </c>
      <c r="E19">
        <f t="shared" si="0"/>
        <v>0</v>
      </c>
      <c r="F19" s="2">
        <f t="shared" si="1"/>
        <v>634.6</v>
      </c>
      <c r="G19" s="2">
        <f t="shared" si="2"/>
        <v>0</v>
      </c>
      <c r="H19" s="2">
        <f t="shared" si="3"/>
        <v>634.6</v>
      </c>
    </row>
    <row r="20" spans="1:8" x14ac:dyDescent="0.2">
      <c r="A20" t="s">
        <v>17</v>
      </c>
      <c r="B20" t="s">
        <v>18</v>
      </c>
      <c r="C20" s="2">
        <v>17.3</v>
      </c>
      <c r="D20">
        <v>37</v>
      </c>
      <c r="E20">
        <f t="shared" si="0"/>
        <v>0</v>
      </c>
      <c r="F20" s="2">
        <f t="shared" si="1"/>
        <v>640.1</v>
      </c>
      <c r="G20" s="2">
        <f t="shared" si="2"/>
        <v>0</v>
      </c>
      <c r="H20" s="2">
        <f t="shared" si="3"/>
        <v>640.1</v>
      </c>
    </row>
    <row r="21" spans="1:8" x14ac:dyDescent="0.2">
      <c r="A21" t="s">
        <v>27</v>
      </c>
      <c r="B21" t="s">
        <v>28</v>
      </c>
      <c r="C21" s="2">
        <v>18.600000000000001</v>
      </c>
      <c r="D21">
        <v>36</v>
      </c>
      <c r="E21">
        <f t="shared" si="0"/>
        <v>0</v>
      </c>
      <c r="F21" s="2">
        <f t="shared" si="1"/>
        <v>669.6</v>
      </c>
      <c r="G21" s="2">
        <f t="shared" si="2"/>
        <v>0</v>
      </c>
      <c r="H21" s="2">
        <f t="shared" si="3"/>
        <v>669.6</v>
      </c>
    </row>
    <row r="22" spans="1:8" x14ac:dyDescent="0.2">
      <c r="A22" t="s">
        <v>29</v>
      </c>
      <c r="B22" t="s">
        <v>30</v>
      </c>
      <c r="C22" s="2">
        <v>14.85</v>
      </c>
      <c r="D22">
        <v>40</v>
      </c>
      <c r="E22">
        <f t="shared" si="0"/>
        <v>0</v>
      </c>
      <c r="F22" s="2">
        <f t="shared" si="1"/>
        <v>594</v>
      </c>
      <c r="G22" s="2">
        <f t="shared" si="2"/>
        <v>0</v>
      </c>
      <c r="H22" s="2">
        <f t="shared" si="3"/>
        <v>594</v>
      </c>
    </row>
    <row r="23" spans="1:8" x14ac:dyDescent="0.2">
      <c r="A23" t="s">
        <v>19</v>
      </c>
      <c r="B23" t="s">
        <v>20</v>
      </c>
      <c r="C23" s="2">
        <v>14.1</v>
      </c>
      <c r="D23">
        <v>41</v>
      </c>
      <c r="E23">
        <f t="shared" si="0"/>
        <v>1</v>
      </c>
      <c r="F23" s="2">
        <f t="shared" si="1"/>
        <v>578.1</v>
      </c>
      <c r="G23" s="2">
        <f t="shared" si="2"/>
        <v>7.05</v>
      </c>
      <c r="H23" s="2">
        <f t="shared" si="3"/>
        <v>585.15</v>
      </c>
    </row>
    <row r="25" spans="1:8" x14ac:dyDescent="0.2">
      <c r="A25" t="s">
        <v>47</v>
      </c>
      <c r="C25" s="2">
        <f>MAX(C4:C23)</f>
        <v>22.5</v>
      </c>
      <c r="D25" s="3">
        <f t="shared" ref="D25:F25" si="4">MAX(D4:D23)</f>
        <v>45</v>
      </c>
      <c r="E25" s="3"/>
      <c r="F25" s="2">
        <f t="shared" si="4"/>
        <v>1012.5</v>
      </c>
      <c r="G25" s="2">
        <f t="shared" ref="G25:H25" si="5">MAX(G4:G23)</f>
        <v>56.25</v>
      </c>
      <c r="H25" s="2">
        <f t="shared" si="5"/>
        <v>1068.75</v>
      </c>
    </row>
    <row r="26" spans="1:8" x14ac:dyDescent="0.2">
      <c r="A26" t="s">
        <v>48</v>
      </c>
      <c r="C26" s="2">
        <f>MIN(C4:C23)</f>
        <v>13.25</v>
      </c>
      <c r="D26" s="3">
        <f t="shared" ref="D26:F26" si="6">MIN(D4:D23)</f>
        <v>35</v>
      </c>
      <c r="E26" s="3"/>
      <c r="F26" s="2">
        <f t="shared" si="6"/>
        <v>483</v>
      </c>
      <c r="G26" s="2">
        <f t="shared" ref="G26:H26" si="7">MIN(G4:G23)</f>
        <v>0</v>
      </c>
      <c r="H26" s="2">
        <f t="shared" si="7"/>
        <v>483</v>
      </c>
    </row>
    <row r="27" spans="1:8" x14ac:dyDescent="0.2">
      <c r="A27" t="s">
        <v>49</v>
      </c>
      <c r="C27" s="2">
        <f>AVERAGE(C4:C23)</f>
        <v>16.567500000000006</v>
      </c>
      <c r="D27" s="4">
        <f t="shared" ref="D27:F27" si="8">AVERAGE(D4:D23)</f>
        <v>39.75</v>
      </c>
      <c r="E27" s="4"/>
      <c r="F27" s="2">
        <f t="shared" si="8"/>
        <v>659.65750000000014</v>
      </c>
      <c r="G27" s="2">
        <f t="shared" ref="G27:H27" si="9">AVERAGE(G4:G23)</f>
        <v>9.3725000000000005</v>
      </c>
      <c r="H27" s="2">
        <f t="shared" si="9"/>
        <v>669.03</v>
      </c>
    </row>
    <row r="28" spans="1:8" x14ac:dyDescent="0.2">
      <c r="A28" t="s">
        <v>50</v>
      </c>
      <c r="C28" s="2">
        <f>SUM(C4:C23)</f>
        <v>331.35000000000014</v>
      </c>
      <c r="D28" s="3">
        <f t="shared" ref="D28:F28" si="10">SUM(D4:D23)</f>
        <v>795</v>
      </c>
      <c r="E28" s="3"/>
      <c r="F28" s="2">
        <f t="shared" si="10"/>
        <v>13193.150000000003</v>
      </c>
      <c r="G28" s="2">
        <f t="shared" ref="G28:H28" si="11">SUM(G4:G23)</f>
        <v>187.45000000000002</v>
      </c>
      <c r="H28" s="2">
        <f t="shared" si="11"/>
        <v>13380.6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Subhomoy Haldar</dc:creator>
  <cp:lastModifiedBy>Subhomoy Haldar</cp:lastModifiedBy>
  <dcterms:created xsi:type="dcterms:W3CDTF">2026-01-12T05:32:34Z</dcterms:created>
  <dcterms:modified xsi:type="dcterms:W3CDTF">2026-01-12T11:27:15Z</dcterms:modified>
</cp:coreProperties>
</file>